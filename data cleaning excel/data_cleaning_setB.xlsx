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7375FE-B6FC-4824-B70D-6643BFE3515D}" xr6:coauthVersionLast="47" xr6:coauthVersionMax="47" xr10:uidLastSave="{00000000-0000-0000-0000-000000000000}"/>
  <bookViews>
    <workbookView xWindow="-108" yWindow="-108" windowWidth="23256" windowHeight="12456" xr2:uid="{892AD55F-4C7E-43F2-820D-3996C7AC7A57}"/>
  </bookViews>
  <sheets>
    <sheet name="datacleaning" sheetId="2" r:id="rId1"/>
    <sheet name="Sheet1" sheetId="1" r:id="rId2"/>
  </sheets>
  <definedNames>
    <definedName name="ExternalData_1" localSheetId="0" hidden="1">datacleaning!$A$1:$L$250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58A0FD-5984-4E92-A0E8-9F242B906598}" keepAlive="1" name="Query - datacleaning" description="Connection to the 'datacleaning' query in the workbook." type="5" refreshedVersion="8" background="1" saveData="1">
    <dbPr connection="Provider=Microsoft.Mashup.OleDb.1;Data Source=$Workbook$;Location=datacleaning;Extended Properties=&quot;&quot;" command="SELECT * FROM [datacleaning]"/>
  </connection>
  <connection id="2" xr16:uid="{03B9D53F-E2F6-4876-912A-B40CD54AF37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74E95F4-C9A0-4978-B63F-F383659BD97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69AD25F-2C8C-400E-B309-9482E4EC15D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D383653-95FA-488B-B2C4-218920D6D42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<sst xmlns="http://schemas.openxmlformats.org/spreadsheetml/2006/main" count="1758" uniqueCount="297">
  <si>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</si>
  <si>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</si>
  <si>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</si>
  <si>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</si>
  <si>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</si>
  <si>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</si>
  <si>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</si>
  <si>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</si>
  <si>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</si>
  <si>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</si>
  <si>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</si>
  <si>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</si>
  <si>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</si>
  <si>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</si>
  <si>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Davao</t>
  </si>
  <si>
    <t>user0@yahoo.com</t>
  </si>
  <si>
    <t>Weekly</t>
  </si>
  <si>
    <t>Inactive</t>
  </si>
  <si>
    <t>unknown</t>
  </si>
  <si>
    <t>Peter</t>
  </si>
  <si>
    <t>Male</t>
  </si>
  <si>
    <t>Cagayan de Oro</t>
  </si>
  <si>
    <t>user1@gmail.com</t>
  </si>
  <si>
    <t>Monthly</t>
  </si>
  <si>
    <t>none</t>
  </si>
  <si>
    <t>Mary</t>
  </si>
  <si>
    <t>Cebu</t>
  </si>
  <si>
    <t>user2@yahoo.com</t>
  </si>
  <si>
    <t>Active</t>
  </si>
  <si>
    <t>satisfied</t>
  </si>
  <si>
    <t>user3@outlook.com</t>
  </si>
  <si>
    <t>Unknown</t>
  </si>
  <si>
    <t>Ana  Marie</t>
  </si>
  <si>
    <t>user4@yahoo.com</t>
  </si>
  <si>
    <t>ok</t>
  </si>
  <si>
    <t>user5@yahoo.com</t>
  </si>
  <si>
    <t>bad</t>
  </si>
  <si>
    <t>Manila</t>
  </si>
  <si>
    <t>user6@outlook.com</t>
  </si>
  <si>
    <t>user7@outlook.com</t>
  </si>
  <si>
    <t>Lizza</t>
  </si>
  <si>
    <t>user8@gmail.com</t>
  </si>
  <si>
    <t>Bi-Monthly</t>
  </si>
  <si>
    <t>very good</t>
  </si>
  <si>
    <t>user9@yahoo.com</t>
  </si>
  <si>
    <t>user10@outlook.com</t>
  </si>
  <si>
    <t>user11@gmail.com</t>
  </si>
  <si>
    <t>One-Time</t>
  </si>
  <si>
    <t>user12@outlook.com</t>
  </si>
  <si>
    <t>Deactivated</t>
  </si>
  <si>
    <t>user13@yahoo.com</t>
  </si>
  <si>
    <t>positive</t>
  </si>
  <si>
    <t>user14@outlook.com</t>
  </si>
  <si>
    <t>Marc  Anthony</t>
  </si>
  <si>
    <t>user15@yahoo.com</t>
  </si>
  <si>
    <t>user16@outlook.com</t>
  </si>
  <si>
    <t>good</t>
  </si>
  <si>
    <t>Liza</t>
  </si>
  <si>
    <t>user17@outlook.com</t>
  </si>
  <si>
    <t>John  Doe</t>
  </si>
  <si>
    <t>user18@yahoo.com</t>
  </si>
  <si>
    <t>user19@gmail.com</t>
  </si>
  <si>
    <t>user20@outlook.com</t>
  </si>
  <si>
    <t>user21@yahoo.com</t>
  </si>
  <si>
    <t>Mark Anthony</t>
  </si>
  <si>
    <t>user22@yahoo.com</t>
  </si>
  <si>
    <t>user23@yahoo.com</t>
  </si>
  <si>
    <t>user24@gmail.com</t>
  </si>
  <si>
    <t>user25@yahoo.com</t>
  </si>
  <si>
    <t>user26@gmail.com</t>
  </si>
  <si>
    <t>user27@outlook.com</t>
  </si>
  <si>
    <t>Anna Marie</t>
  </si>
  <si>
    <t>user28@outlook.com</t>
  </si>
  <si>
    <t>user29@gmail.com</t>
  </si>
  <si>
    <t>Jhon Doe</t>
  </si>
  <si>
    <t>user30@yahoo.com</t>
  </si>
  <si>
    <t>user31@gmail.com</t>
  </si>
  <si>
    <t>user32@outlook.com</t>
  </si>
  <si>
    <t>user33@gmail.com</t>
  </si>
  <si>
    <t>user34@outlook.com</t>
  </si>
  <si>
    <t>user35@yahoo.com</t>
  </si>
  <si>
    <t>user36@outlook.com</t>
  </si>
  <si>
    <t>user37@gmail.com</t>
  </si>
  <si>
    <t>user38@yahoo.com</t>
  </si>
  <si>
    <t>user39@yahoo.com</t>
  </si>
  <si>
    <t>user40@gmail.com</t>
  </si>
  <si>
    <t>user41@gmail.com</t>
  </si>
  <si>
    <t>user42@gmail.com</t>
  </si>
  <si>
    <t>user43@gmail.com</t>
  </si>
  <si>
    <t>user44@yahoo.com</t>
  </si>
  <si>
    <t>user45@gmail.com</t>
  </si>
  <si>
    <t>user46@outlook.com</t>
  </si>
  <si>
    <t>user47@gmail.com</t>
  </si>
  <si>
    <t>user48@yahoo.com</t>
  </si>
  <si>
    <t>user49@yahoo.com</t>
  </si>
  <si>
    <t>user50@outlook.com</t>
  </si>
  <si>
    <t>user51@yahoo.com</t>
  </si>
  <si>
    <t>user52@yahoo.com</t>
  </si>
  <si>
    <t>user53@gmail.com</t>
  </si>
  <si>
    <t>user54@yahoo.com</t>
  </si>
  <si>
    <t>user55@outlook.com</t>
  </si>
  <si>
    <t>user56@outlook.com</t>
  </si>
  <si>
    <t>user57@outlook.com</t>
  </si>
  <si>
    <t>user58@outlook.com</t>
  </si>
  <si>
    <t>user59@yahoo.com</t>
  </si>
  <si>
    <t>user60@yahoo.com</t>
  </si>
  <si>
    <t>user61@yahoo.com</t>
  </si>
  <si>
    <t>user62@outlook.com</t>
  </si>
  <si>
    <t>user63@gmail.com</t>
  </si>
  <si>
    <t>user64@outlook.com</t>
  </si>
  <si>
    <t>user65@gmail.com</t>
  </si>
  <si>
    <t>user66@gmail.com</t>
  </si>
  <si>
    <t>user67@yahoo.com</t>
  </si>
  <si>
    <t>user68@yahoo.com</t>
  </si>
  <si>
    <t>user69@gmail.com</t>
  </si>
  <si>
    <t>user70@yahoo.com</t>
  </si>
  <si>
    <t>user71@yahoo.com</t>
  </si>
  <si>
    <t>user72@gmail.com</t>
  </si>
  <si>
    <t>user73@outlook.com</t>
  </si>
  <si>
    <t>user74@yahoo.com</t>
  </si>
  <si>
    <t>user75@outlook.com</t>
  </si>
  <si>
    <t>user76@outlook.com</t>
  </si>
  <si>
    <t>user77@outlook.com</t>
  </si>
  <si>
    <t>user78@outlook.com</t>
  </si>
  <si>
    <t>user79@gmail.com</t>
  </si>
  <si>
    <t>user80@yahoo.com</t>
  </si>
  <si>
    <t>user81@gmail.com</t>
  </si>
  <si>
    <t>user82@outlook.com</t>
  </si>
  <si>
    <t>user83@gmail.com</t>
  </si>
  <si>
    <t>user84@gmail.com</t>
  </si>
  <si>
    <t>user85@yahoo.com</t>
  </si>
  <si>
    <t>user86@outlook.com</t>
  </si>
  <si>
    <t>user87@gmail.com</t>
  </si>
  <si>
    <t>user88@gmail.com</t>
  </si>
  <si>
    <t>user89@gmail.com</t>
  </si>
  <si>
    <t>user90@yahoo.com</t>
  </si>
  <si>
    <t>user91@yahoo.com</t>
  </si>
  <si>
    <t>user92@gmail.com</t>
  </si>
  <si>
    <t>user93@yahoo.com</t>
  </si>
  <si>
    <t>user94@yahoo.com</t>
  </si>
  <si>
    <t>user95@gmail.com</t>
  </si>
  <si>
    <t>user96@gmail.com</t>
  </si>
  <si>
    <t>user97@outlook.com</t>
  </si>
  <si>
    <t>user98@yahoo.com</t>
  </si>
  <si>
    <t>user99@outlook.com</t>
  </si>
  <si>
    <t>user100@gmail.com</t>
  </si>
  <si>
    <t>user101@gmail.com</t>
  </si>
  <si>
    <t>user102@gmail.com</t>
  </si>
  <si>
    <t>user103@gmail.com</t>
  </si>
  <si>
    <t>user104@yahoo.com</t>
  </si>
  <si>
    <t>user105@outlook.com</t>
  </si>
  <si>
    <t>user106@outlook.com</t>
  </si>
  <si>
    <t>user107@gmail.com</t>
  </si>
  <si>
    <t>user108@yahoo.com</t>
  </si>
  <si>
    <t>user109@gmail.com</t>
  </si>
  <si>
    <t>user110@gmail.com</t>
  </si>
  <si>
    <t>user111@outlook.com</t>
  </si>
  <si>
    <t>user112@outlook.com</t>
  </si>
  <si>
    <t>user113@yahoo.com</t>
  </si>
  <si>
    <t>user114@outlook.com</t>
  </si>
  <si>
    <t>user115@yahoo.com</t>
  </si>
  <si>
    <t>user116@gmail.com</t>
  </si>
  <si>
    <t>user117@gmail.com</t>
  </si>
  <si>
    <t>user118@outlook.com</t>
  </si>
  <si>
    <t>user119@yahoo.com</t>
  </si>
  <si>
    <t>user120@yahoo.com</t>
  </si>
  <si>
    <t>user121@yahoo.com</t>
  </si>
  <si>
    <t>user122@gmail.com</t>
  </si>
  <si>
    <t>user123@yahoo.com</t>
  </si>
  <si>
    <t>user124@gmail.com</t>
  </si>
  <si>
    <t>user125@outlook.com</t>
  </si>
  <si>
    <t>user126@outlook.com</t>
  </si>
  <si>
    <t>user127@outlook.com</t>
  </si>
  <si>
    <t>user128@outlook.com</t>
  </si>
  <si>
    <t>user129@outlook.com</t>
  </si>
  <si>
    <t>user130@yahoo.com</t>
  </si>
  <si>
    <t>user131@gmail.com</t>
  </si>
  <si>
    <t>user132@yahoo.com</t>
  </si>
  <si>
    <t>user133@yahoo.com</t>
  </si>
  <si>
    <t>user134@gmail.com</t>
  </si>
  <si>
    <t>user135@outlook.com</t>
  </si>
  <si>
    <t>user136@yahoo.com</t>
  </si>
  <si>
    <t>user137@outlook.com</t>
  </si>
  <si>
    <t>user138@gmail.com</t>
  </si>
  <si>
    <t>user139@outlook.com</t>
  </si>
  <si>
    <t>user140@yahoo.com</t>
  </si>
  <si>
    <t>user141@outlook.com</t>
  </si>
  <si>
    <t>user142@yahoo.com</t>
  </si>
  <si>
    <t>user143@outlook.com</t>
  </si>
  <si>
    <t>user144@yahoo.com</t>
  </si>
  <si>
    <t>user145@outlook.com</t>
  </si>
  <si>
    <t>user146@outlook.com</t>
  </si>
  <si>
    <t>user147@yahoo.com</t>
  </si>
  <si>
    <t>user148@gmail.com</t>
  </si>
  <si>
    <t>user149@yahoo.com</t>
  </si>
  <si>
    <t>user150@outlook.com</t>
  </si>
  <si>
    <t>user151@outlook.com</t>
  </si>
  <si>
    <t>user152@outlook.com</t>
  </si>
  <si>
    <t>user153@gmail.com</t>
  </si>
  <si>
    <t>user154@outlook.com</t>
  </si>
  <si>
    <t>user155@yahoo.com</t>
  </si>
  <si>
    <t>user156@yahoo.com</t>
  </si>
  <si>
    <t>user157@gmail.com</t>
  </si>
  <si>
    <t>user158@yahoo.com</t>
  </si>
  <si>
    <t>user159@outlook.com</t>
  </si>
  <si>
    <t>user160@outlook.com</t>
  </si>
  <si>
    <t>user161@outlook.com</t>
  </si>
  <si>
    <t>user162@outlook.com</t>
  </si>
  <si>
    <t>user163@yahoo.com</t>
  </si>
  <si>
    <t>user164@gmail.com</t>
  </si>
  <si>
    <t>user165@gmail.com</t>
  </si>
  <si>
    <t>user166@gmail.com</t>
  </si>
  <si>
    <t>user167@yahoo.com</t>
  </si>
  <si>
    <t>user168@gmail.com</t>
  </si>
  <si>
    <t>user169@yahoo.com</t>
  </si>
  <si>
    <t>user170@outlook.com</t>
  </si>
  <si>
    <t>user171@yahoo.com</t>
  </si>
  <si>
    <t>user172@gmail.com</t>
  </si>
  <si>
    <t>user173@gmail.com</t>
  </si>
  <si>
    <t>user174@yahoo.com</t>
  </si>
  <si>
    <t>user175@outlook.com</t>
  </si>
  <si>
    <t>user176@outlook.com</t>
  </si>
  <si>
    <t>user177@outlook.com</t>
  </si>
  <si>
    <t>user178@yahoo.com</t>
  </si>
  <si>
    <t>user179@yahoo.com</t>
  </si>
  <si>
    <t>user180@yahoo.com</t>
  </si>
  <si>
    <t>user181@outlook.com</t>
  </si>
  <si>
    <t>user182@outlook.com</t>
  </si>
  <si>
    <t>user183@yahoo.com</t>
  </si>
  <si>
    <t>user184@outlook.com</t>
  </si>
  <si>
    <t>user185@gmail.com</t>
  </si>
  <si>
    <t>user186@outlook.com</t>
  </si>
  <si>
    <t>user187@gmail.com</t>
  </si>
  <si>
    <t>user188@yahoo.com</t>
  </si>
  <si>
    <t>user189@gmail.com</t>
  </si>
  <si>
    <t>user190@yahoo.com</t>
  </si>
  <si>
    <t>user191@gmail.com</t>
  </si>
  <si>
    <t>user192@gmail.com</t>
  </si>
  <si>
    <t>user193@yahoo.com</t>
  </si>
  <si>
    <t>user194@outlook.com</t>
  </si>
  <si>
    <t>user195@gmail.com</t>
  </si>
  <si>
    <t>user196@yahoo.com</t>
  </si>
  <si>
    <t>user198@outlook.com</t>
  </si>
  <si>
    <t>user199@outlook.com</t>
  </si>
  <si>
    <t>user200@yahoo.com</t>
  </si>
  <si>
    <t>user201@gmail.com</t>
  </si>
  <si>
    <t>user202@gmail.com</t>
  </si>
  <si>
    <t>user203@yahoo.com</t>
  </si>
  <si>
    <t>user204@outlook.com</t>
  </si>
  <si>
    <t>user205@outlook.com</t>
  </si>
  <si>
    <t>user206@outlook.com</t>
  </si>
  <si>
    <t>user207@outlook.com</t>
  </si>
  <si>
    <t>user208@outlook.com</t>
  </si>
  <si>
    <t>user209@yahoo.com</t>
  </si>
  <si>
    <t>user210@outlook.com</t>
  </si>
  <si>
    <t>user211@yahoo.com</t>
  </si>
  <si>
    <t>user212@outlook.com</t>
  </si>
  <si>
    <t>user213@yahoo.com</t>
  </si>
  <si>
    <t>user214@gmail.com</t>
  </si>
  <si>
    <t>user215@gmail.com</t>
  </si>
  <si>
    <t>user216@outlook.com</t>
  </si>
  <si>
    <t>user217@outlook.com</t>
  </si>
  <si>
    <t>user218@gmail.com</t>
  </si>
  <si>
    <t>user219@gmail.com</t>
  </si>
  <si>
    <t>user220@gmail.com</t>
  </si>
  <si>
    <t>user221@yahoo.com</t>
  </si>
  <si>
    <t>user222@yahoo.com</t>
  </si>
  <si>
    <t>user223@outlook.com</t>
  </si>
  <si>
    <t>user224@outlook.com</t>
  </si>
  <si>
    <t>user225@gmail.com</t>
  </si>
  <si>
    <t>user226@outlook.com</t>
  </si>
  <si>
    <t>user227@gmail.com</t>
  </si>
  <si>
    <t>user228@gmail.com</t>
  </si>
  <si>
    <t>user229@yahoo.com</t>
  </si>
  <si>
    <t>user230@yahoo.com</t>
  </si>
  <si>
    <t>user231@yahoo.com</t>
  </si>
  <si>
    <t>user232@yahoo.com</t>
  </si>
  <si>
    <t>user233@gmail.com</t>
  </si>
  <si>
    <t>user234@yahoo.com</t>
  </si>
  <si>
    <t>user235@gmail.com</t>
  </si>
  <si>
    <t>user236@outlook.com</t>
  </si>
  <si>
    <t>user237@gmail.com</t>
  </si>
  <si>
    <t>user238@yahoo.com</t>
  </si>
  <si>
    <t>user239@yahoo.com</t>
  </si>
  <si>
    <t>user240@gmail.com</t>
  </si>
  <si>
    <t>user241@outlook.com</t>
  </si>
  <si>
    <t>user242@outlook.com</t>
  </si>
  <si>
    <t>user243@yahoo.com</t>
  </si>
  <si>
    <t>user244@outlook.com</t>
  </si>
  <si>
    <t>user245@yahoo.com</t>
  </si>
  <si>
    <t>user246@outlook.com</t>
  </si>
  <si>
    <t>user247@gmail.com</t>
  </si>
  <si>
    <t>user248@yahoo.com</t>
  </si>
  <si>
    <t>user249@yahoo.com</t>
  </si>
  <si>
    <r>
      <t>Membership_Length_Days</t>
    </r>
    <r>
      <rPr>
        <sz val="12"/>
        <color theme="1"/>
        <rFont val="Calibri"/>
        <family val="2"/>
      </rPr>
      <t xml:space="preserve"> </t>
    </r>
  </si>
  <si>
    <t>Is_Active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</si>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</sst>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8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68" formatCode="yyyy\-mm\-dd"/>
    </dxf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072265-1C94-478B-BAE3-AED80F6C6DE1}" autoFormatId="16" applyNumberFormats="0" applyBorderFormats="0" applyFontFormats="0" applyPatternFormats="0" applyAlignmentFormats="0" applyWidthHeightFormats="0">
  <queryTableRefresh nextId="17" unboundColumnsRight="3">
    <queryTableFields count="15">
      <queryTableField id="2" name="Respondent_ID" tableColumnId="2"/>
      <queryTableField id="3" name="Full_Name" tableColumnId="3"/>
      <queryTableField id="4" name="Age" tableColumnId="4"/>
      <queryTableField id="5" name="Gender" tableColumnId="5"/>
      <queryTableField id="6" name="City" tableColumnId="6"/>
      <queryTableField id="7" name="Email_Address" tableColumnId="7"/>
      <queryTableField id="8" name="Satisfaction_Rating" tableColumnId="8"/>
      <queryTableField id="9" name="Purchase_Frequency" tableColumnId="9"/>
      <queryTableField id="10" name="Join_Date" tableColumnId="10"/>
      <queryTableField id="11" name="Last_Purchase_Date" tableColumnId="11"/>
      <queryTableField id="12" name="Account_Status" tableColumnId="12"/>
      <queryTableField id="13" name="Remarks" tableColumnId="13"/>
      <queryTableField id="14" dataBound="0" tableColumnId="14"/>
      <queryTableField id="15" dataBound="0" tableColumnId="15"/>
      <queryTableField id="16" dataBound="0" tableColumnId="16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17F09-0A84-4FE5-ABDC-176C6C2C80BB}" name="datacleaning" displayName="datacleaning" ref="A1:O250" tableType="queryTable" totalsRowShown="0" headerRowDxfId="2">
  <tableColumns count="15">
    <tableColumn id="2" xr3:uid="{AA82D1D8-7DA1-4D1C-8D51-3E58597569C7}" uniqueName="2" name="Respondent_ID" queryTableFieldId="2"/>
    <tableColumn id="3" xr3:uid="{C7ACDE33-1FD4-4CC6-B320-9AB2D4808C79}" uniqueName="3" name="Full_Name" queryTableFieldId="3" dataDxfId="12"/>
    <tableColumn id="4" xr3:uid="{4CAC393E-D038-4037-8EFC-11716ED3EAE3}" uniqueName="4" name="Age" queryTableFieldId="4"/>
    <tableColumn id="5" xr3:uid="{04C995BF-B70D-4F4B-8E36-0B0638399813}" uniqueName="5" name="Gender" queryTableFieldId="5" dataDxfId="11"/>
    <tableColumn id="6" xr3:uid="{220DF88D-8050-4EDF-A4AF-A172511CB441}" uniqueName="6" name="City" queryTableFieldId="6" dataDxfId="10"/>
    <tableColumn id="7" xr3:uid="{0D275AA6-8E87-47F1-975B-D5DCE46CC5A0}" uniqueName="7" name="Email_Address" queryTableFieldId="7" dataDxfId="9"/>
    <tableColumn id="8" xr3:uid="{F26B7987-8325-44DB-8600-1C4B3F21E939}" uniqueName="8" name="Satisfaction_Rating" queryTableFieldId="8"/>
    <tableColumn id="9" xr3:uid="{234EBA6C-13CD-4238-82A0-7879DA66936A}" uniqueName="9" name="Purchase_Frequency" queryTableFieldId="9" dataDxfId="8"/>
    <tableColumn id="10" xr3:uid="{C79B98F0-6170-44CD-BECC-281475C40A60}" uniqueName="10" name="Join_Date" queryTableFieldId="10" dataDxfId="5"/>
    <tableColumn id="11" xr3:uid="{21F6F52F-D416-409A-B11A-74339FF1B4A1}" uniqueName="11" name="Last_Purchase_Date" queryTableFieldId="11" dataDxfId="4"/>
    <tableColumn id="12" xr3:uid="{D16BAD6D-7C84-42BB-A412-1645904C39A6}" uniqueName="12" name="Account_Status" queryTableFieldId="12" dataDxfId="7"/>
    <tableColumn id="13" xr3:uid="{309413A4-C2C1-41CA-A0BD-C7CA1EE20DEC}" uniqueName="13" name="Remarks" queryTableFieldId="13" dataDxfId="6"/>
    <tableColumn id="14" xr3:uid="{398D53F7-5CE0-4E37-99D1-F8E55FE49244}" uniqueName="14" name="Membership_Length_Days " queryTableFieldId="14" dataDxfId="3">
      <calculatedColumnFormula>J2-I2</calculatedColumnFormula>
    </tableColumn>
    <tableColumn id="15" xr3:uid="{4A6571FB-59BF-4EA7-BC8D-BF95BEA41101}" uniqueName="15" name="Is_Active" queryTableFieldId="15" dataDxfId="1">
      <calculatedColumnFormula>IF(K2="Active",1,0)</calculatedColumnFormula>
    </tableColumn>
    <tableColumn id="16" xr3:uid="{9B8A6AF5-62F5-4FDD-BA51-1A284B91CB2A}" uniqueName="16" name="Age_Group" queryTableFieldId="16" dataDxfId="0">
      <calculatedColumnFormula>IF(AND(C2&gt;=18,C2&lt;=25),"18-25",
IF(AND(C2&gt;=26,C2&lt;=35),"26-35",
IF(AND(C2&gt;=36,C2&lt;=50),"36-50",
IF(C2&gt;=51,"51+",""))))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3502-8FE1-49AE-850F-D1C589201F4D}">
  <dimension ref="A1:O250"/>
  <sheetViews>
    <sheetView tabSelected="1" topLeftCell="D1" zoomScale="87" workbookViewId="0">
      <selection activeCell="P8" sqref="P8"/>
    </sheetView>
  </sheetViews>
  <sheetFormatPr defaultRowHeight="14.4" x14ac:dyDescent="0.3"/>
  <cols>
    <col min="1" max="1" width="15.77734375" bestFit="1" customWidth="1"/>
    <col min="2" max="2" width="12.21875" bestFit="1" customWidth="1"/>
    <col min="3" max="3" width="8.33203125" customWidth="1"/>
    <col min="4" max="4" width="9.33203125" bestFit="1" customWidth="1"/>
    <col min="5" max="5" width="19.6640625" customWidth="1"/>
    <col min="6" max="6" width="24" customWidth="1"/>
    <col min="7" max="7" width="19.44140625" bestFit="1" customWidth="1"/>
    <col min="8" max="8" width="20.5546875" bestFit="1" customWidth="1"/>
    <col min="9" max="9" width="17.21875" style="2" customWidth="1"/>
    <col min="10" max="10" width="20" style="3" bestFit="1" customWidth="1"/>
    <col min="11" max="11" width="16.21875" bestFit="1" customWidth="1"/>
    <col min="12" max="12" width="10.5546875" bestFit="1" customWidth="1"/>
    <col min="13" max="13" width="26.44140625" customWidth="1"/>
    <col min="14" max="14" width="13.88671875" customWidth="1"/>
    <col min="15" max="15" width="11.77734375" customWidth="1"/>
  </cols>
  <sheetData>
    <row r="1" spans="1:15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7" t="s">
        <v>294</v>
      </c>
      <c r="N1" s="4" t="s">
        <v>295</v>
      </c>
      <c r="O1" s="4" t="s">
        <v>296</v>
      </c>
    </row>
    <row r="2" spans="1:15" x14ac:dyDescent="0.3">
      <c r="A2">
        <v>1365</v>
      </c>
      <c r="B2" s="1" t="s">
        <v>12</v>
      </c>
      <c r="C2">
        <v>20</v>
      </c>
      <c r="D2" s="1" t="s">
        <v>13</v>
      </c>
      <c r="E2" s="1" t="s">
        <v>14</v>
      </c>
      <c r="F2" s="1" t="s">
        <v>15</v>
      </c>
      <c r="G2">
        <v>4</v>
      </c>
      <c r="H2" s="1" t="s">
        <v>16</v>
      </c>
      <c r="I2" s="2">
        <v>45379</v>
      </c>
      <c r="J2" s="3">
        <v>45330</v>
      </c>
      <c r="K2" s="1" t="s">
        <v>17</v>
      </c>
      <c r="L2" s="1" t="s">
        <v>18</v>
      </c>
      <c r="M2" s="1">
        <f t="shared" ref="M2:M65" si="0">J2-I2</f>
        <v>-49</v>
      </c>
      <c r="N2" s="1">
        <f t="shared" ref="N2:N65" si="1">IF(K2="Active",1,0)</f>
        <v>0</v>
      </c>
      <c r="O2" s="8" t="str">
        <f t="shared" ref="O2:O65" si="2">IF(AND(C2&gt;=18,C2&lt;=25),"18-25",
IF(AND(C2&gt;=26,C2&lt;=35),"26-35",
IF(AND(C2&gt;=36,C2&lt;=50),"36-50",
IF(C2&gt;=51,"51+",""))))</f>
        <v>18-25</v>
      </c>
    </row>
    <row r="3" spans="1:15" x14ac:dyDescent="0.3">
      <c r="A3">
        <v>1382</v>
      </c>
      <c r="B3" s="1" t="s">
        <v>19</v>
      </c>
      <c r="C3">
        <v>26</v>
      </c>
      <c r="D3" s="1" t="s">
        <v>20</v>
      </c>
      <c r="E3" s="1" t="s">
        <v>21</v>
      </c>
      <c r="F3" s="1" t="s">
        <v>22</v>
      </c>
      <c r="G3">
        <v>5</v>
      </c>
      <c r="H3" s="1" t="s">
        <v>23</v>
      </c>
      <c r="I3" s="2">
        <v>45439</v>
      </c>
      <c r="J3" s="3">
        <v>45413</v>
      </c>
      <c r="K3" s="1" t="s">
        <v>17</v>
      </c>
      <c r="L3" s="1" t="s">
        <v>24</v>
      </c>
      <c r="M3" s="1">
        <f t="shared" si="0"/>
        <v>-26</v>
      </c>
      <c r="N3" s="1">
        <f t="shared" si="1"/>
        <v>0</v>
      </c>
      <c r="O3" s="8" t="str">
        <f t="shared" si="2"/>
        <v>26-35</v>
      </c>
    </row>
    <row r="4" spans="1:15" x14ac:dyDescent="0.3">
      <c r="A4">
        <v>1322</v>
      </c>
      <c r="B4" s="1" t="s">
        <v>25</v>
      </c>
      <c r="C4">
        <v>25</v>
      </c>
      <c r="D4" s="1" t="s">
        <v>13</v>
      </c>
      <c r="E4" s="1" t="s">
        <v>26</v>
      </c>
      <c r="F4" s="1" t="s">
        <v>27</v>
      </c>
      <c r="G4">
        <v>2</v>
      </c>
      <c r="H4" s="1" t="s">
        <v>23</v>
      </c>
      <c r="I4" s="2">
        <v>45354</v>
      </c>
      <c r="J4" s="3">
        <v>45334</v>
      </c>
      <c r="K4" s="1" t="s">
        <v>28</v>
      </c>
      <c r="L4" s="1" t="s">
        <v>29</v>
      </c>
      <c r="M4" s="1">
        <f t="shared" si="0"/>
        <v>-20</v>
      </c>
      <c r="N4" s="1">
        <f t="shared" si="1"/>
        <v>1</v>
      </c>
      <c r="O4" s="8" t="str">
        <f t="shared" si="2"/>
        <v>18-25</v>
      </c>
    </row>
    <row r="5" spans="1:15" x14ac:dyDescent="0.3">
      <c r="A5">
        <v>1476</v>
      </c>
      <c r="B5" s="1" t="s">
        <v>12</v>
      </c>
      <c r="C5">
        <v>40</v>
      </c>
      <c r="D5" s="1" t="s">
        <v>13</v>
      </c>
      <c r="E5" s="1" t="s">
        <v>21</v>
      </c>
      <c r="F5" s="1" t="s">
        <v>30</v>
      </c>
      <c r="G5">
        <v>1</v>
      </c>
      <c r="H5" s="1" t="s">
        <v>16</v>
      </c>
      <c r="I5" s="2">
        <v>45426</v>
      </c>
      <c r="J5" s="3">
        <v>45390</v>
      </c>
      <c r="K5" s="1" t="s">
        <v>31</v>
      </c>
      <c r="L5" s="1" t="s">
        <v>29</v>
      </c>
      <c r="M5" s="1">
        <f t="shared" si="0"/>
        <v>-36</v>
      </c>
      <c r="N5" s="1">
        <f t="shared" si="1"/>
        <v>0</v>
      </c>
      <c r="O5" s="8" t="str">
        <f t="shared" si="2"/>
        <v>36-50</v>
      </c>
    </row>
    <row r="6" spans="1:15" x14ac:dyDescent="0.3">
      <c r="A6">
        <v>1098</v>
      </c>
      <c r="B6" s="1" t="s">
        <v>32</v>
      </c>
      <c r="C6">
        <v>19</v>
      </c>
      <c r="D6" s="1" t="s">
        <v>13</v>
      </c>
      <c r="E6" s="1" t="s">
        <v>21</v>
      </c>
      <c r="F6" s="1" t="s">
        <v>33</v>
      </c>
      <c r="G6">
        <v>1</v>
      </c>
      <c r="H6" s="1" t="s">
        <v>16</v>
      </c>
      <c r="I6" s="2">
        <v>45300</v>
      </c>
      <c r="J6" s="3">
        <v>45319</v>
      </c>
      <c r="K6" s="1" t="s">
        <v>28</v>
      </c>
      <c r="L6" s="1" t="s">
        <v>34</v>
      </c>
      <c r="M6" s="1">
        <f t="shared" si="0"/>
        <v>19</v>
      </c>
      <c r="N6" s="1">
        <f t="shared" si="1"/>
        <v>1</v>
      </c>
      <c r="O6" s="8" t="str">
        <f t="shared" si="2"/>
        <v>18-25</v>
      </c>
    </row>
    <row r="7" spans="1:15" x14ac:dyDescent="0.3">
      <c r="A7">
        <v>1230</v>
      </c>
      <c r="B7" s="1" t="s">
        <v>12</v>
      </c>
      <c r="C7">
        <v>40</v>
      </c>
      <c r="D7" s="1" t="s">
        <v>13</v>
      </c>
      <c r="E7" s="1" t="s">
        <v>21</v>
      </c>
      <c r="F7" s="1" t="s">
        <v>35</v>
      </c>
      <c r="G7">
        <v>5</v>
      </c>
      <c r="H7" s="1" t="s">
        <v>16</v>
      </c>
      <c r="I7" s="2">
        <v>45370</v>
      </c>
      <c r="J7" s="3">
        <v>45399</v>
      </c>
      <c r="K7" s="1" t="s">
        <v>28</v>
      </c>
      <c r="L7" s="1" t="s">
        <v>36</v>
      </c>
      <c r="M7" s="1">
        <f t="shared" si="0"/>
        <v>29</v>
      </c>
      <c r="N7" s="1">
        <f t="shared" si="1"/>
        <v>1</v>
      </c>
      <c r="O7" s="8" t="str">
        <f t="shared" si="2"/>
        <v>36-50</v>
      </c>
    </row>
    <row r="8" spans="1:15" x14ac:dyDescent="0.3">
      <c r="A8">
        <v>1017</v>
      </c>
      <c r="B8" s="1" t="s">
        <v>12</v>
      </c>
      <c r="C8">
        <v>22</v>
      </c>
      <c r="D8" s="1" t="s">
        <v>20</v>
      </c>
      <c r="E8" s="1" t="s">
        <v>37</v>
      </c>
      <c r="F8" s="1" t="s">
        <v>38</v>
      </c>
      <c r="G8">
        <v>5</v>
      </c>
      <c r="H8" s="1" t="s">
        <v>23</v>
      </c>
      <c r="I8" s="2">
        <v>45317</v>
      </c>
      <c r="J8" s="3">
        <v>45451</v>
      </c>
      <c r="K8" s="1" t="s">
        <v>28</v>
      </c>
      <c r="L8" s="1" t="s">
        <v>18</v>
      </c>
      <c r="M8" s="1">
        <f t="shared" si="0"/>
        <v>134</v>
      </c>
      <c r="N8" s="1">
        <f t="shared" si="1"/>
        <v>1</v>
      </c>
      <c r="O8" s="8" t="str">
        <f t="shared" si="2"/>
        <v>18-25</v>
      </c>
    </row>
    <row r="9" spans="1:15" x14ac:dyDescent="0.3">
      <c r="A9">
        <v>1083</v>
      </c>
      <c r="B9" s="1" t="s">
        <v>25</v>
      </c>
      <c r="C9">
        <v>40</v>
      </c>
      <c r="D9" s="1" t="s">
        <v>20</v>
      </c>
      <c r="E9" s="1" t="s">
        <v>21</v>
      </c>
      <c r="F9" s="1" t="s">
        <v>39</v>
      </c>
      <c r="G9">
        <v>3</v>
      </c>
      <c r="H9" s="1" t="s">
        <v>23</v>
      </c>
      <c r="I9" s="2">
        <v>45399</v>
      </c>
      <c r="J9" s="3">
        <v>45567</v>
      </c>
      <c r="K9" s="1" t="s">
        <v>31</v>
      </c>
      <c r="L9" s="1" t="s">
        <v>24</v>
      </c>
      <c r="M9" s="1">
        <f t="shared" si="0"/>
        <v>168</v>
      </c>
      <c r="N9" s="1">
        <f t="shared" si="1"/>
        <v>0</v>
      </c>
      <c r="O9" s="8" t="str">
        <f t="shared" si="2"/>
        <v>36-50</v>
      </c>
    </row>
    <row r="10" spans="1:15" x14ac:dyDescent="0.3">
      <c r="A10">
        <v>1106</v>
      </c>
      <c r="B10" s="1" t="s">
        <v>40</v>
      </c>
      <c r="C10">
        <v>24</v>
      </c>
      <c r="D10" s="1" t="s">
        <v>20</v>
      </c>
      <c r="E10" s="1" t="s">
        <v>26</v>
      </c>
      <c r="F10" s="1" t="s">
        <v>41</v>
      </c>
      <c r="G10">
        <v>3</v>
      </c>
      <c r="H10" s="1" t="s">
        <v>42</v>
      </c>
      <c r="I10" s="2">
        <v>45316</v>
      </c>
      <c r="J10" s="3">
        <v>45317</v>
      </c>
      <c r="K10" s="1" t="s">
        <v>28</v>
      </c>
      <c r="L10" s="1" t="s">
        <v>43</v>
      </c>
      <c r="M10" s="1">
        <f t="shared" si="0"/>
        <v>1</v>
      </c>
      <c r="N10" s="1">
        <f t="shared" si="1"/>
        <v>1</v>
      </c>
      <c r="O10" s="8" t="str">
        <f t="shared" si="2"/>
        <v>18-25</v>
      </c>
    </row>
    <row r="11" spans="1:15" x14ac:dyDescent="0.3">
      <c r="A11">
        <v>1123</v>
      </c>
      <c r="B11" s="1" t="s">
        <v>19</v>
      </c>
      <c r="C11">
        <v>20</v>
      </c>
      <c r="D11" s="1" t="s">
        <v>13</v>
      </c>
      <c r="E11" s="1" t="s">
        <v>37</v>
      </c>
      <c r="F11" s="1" t="s">
        <v>44</v>
      </c>
      <c r="G11">
        <v>3</v>
      </c>
      <c r="H11" s="1" t="s">
        <v>16</v>
      </c>
      <c r="I11" s="2">
        <v>45444</v>
      </c>
      <c r="J11" s="3">
        <v>45365</v>
      </c>
      <c r="K11" s="1" t="s">
        <v>28</v>
      </c>
      <c r="L11" s="1" t="s">
        <v>29</v>
      </c>
      <c r="M11" s="1">
        <f t="shared" si="0"/>
        <v>-79</v>
      </c>
      <c r="N11" s="1">
        <f t="shared" si="1"/>
        <v>1</v>
      </c>
      <c r="O11" s="8" t="str">
        <f t="shared" si="2"/>
        <v>18-25</v>
      </c>
    </row>
    <row r="12" spans="1:15" x14ac:dyDescent="0.3">
      <c r="A12">
        <v>1057</v>
      </c>
      <c r="B12" s="1" t="s">
        <v>25</v>
      </c>
      <c r="C12">
        <v>40</v>
      </c>
      <c r="D12" s="1" t="s">
        <v>20</v>
      </c>
      <c r="E12" s="1" t="s">
        <v>37</v>
      </c>
      <c r="F12" s="1" t="s">
        <v>45</v>
      </c>
      <c r="G12">
        <v>1</v>
      </c>
      <c r="H12" s="1" t="s">
        <v>42</v>
      </c>
      <c r="I12" s="2">
        <v>45394</v>
      </c>
      <c r="J12" s="3">
        <v>45393</v>
      </c>
      <c r="K12" s="1" t="s">
        <v>28</v>
      </c>
      <c r="L12" s="1" t="s">
        <v>18</v>
      </c>
      <c r="M12" s="1">
        <f t="shared" si="0"/>
        <v>-1</v>
      </c>
      <c r="N12" s="1">
        <f t="shared" si="1"/>
        <v>1</v>
      </c>
      <c r="O12" s="8" t="str">
        <f t="shared" si="2"/>
        <v>36-50</v>
      </c>
    </row>
    <row r="13" spans="1:15" x14ac:dyDescent="0.3">
      <c r="A13">
        <v>1214</v>
      </c>
      <c r="B13" s="1" t="s">
        <v>19</v>
      </c>
      <c r="C13">
        <v>19</v>
      </c>
      <c r="D13" s="1" t="s">
        <v>13</v>
      </c>
      <c r="E13" s="1" t="s">
        <v>37</v>
      </c>
      <c r="F13" s="1" t="s">
        <v>46</v>
      </c>
      <c r="G13">
        <v>1</v>
      </c>
      <c r="H13" s="1" t="s">
        <v>47</v>
      </c>
      <c r="I13" s="2">
        <v>45310</v>
      </c>
      <c r="J13" s="3">
        <v>45439</v>
      </c>
      <c r="K13" s="1" t="s">
        <v>28</v>
      </c>
      <c r="L13" s="1" t="s">
        <v>34</v>
      </c>
      <c r="M13" s="1">
        <f t="shared" si="0"/>
        <v>129</v>
      </c>
      <c r="N13" s="1">
        <f t="shared" si="1"/>
        <v>1</v>
      </c>
      <c r="O13" s="8" t="str">
        <f t="shared" si="2"/>
        <v>18-25</v>
      </c>
    </row>
    <row r="14" spans="1:15" x14ac:dyDescent="0.3">
      <c r="A14">
        <v>1225</v>
      </c>
      <c r="B14" s="1" t="s">
        <v>25</v>
      </c>
      <c r="C14">
        <v>22</v>
      </c>
      <c r="D14" s="1" t="s">
        <v>13</v>
      </c>
      <c r="E14" s="1" t="s">
        <v>21</v>
      </c>
      <c r="F14" s="1" t="s">
        <v>48</v>
      </c>
      <c r="G14">
        <v>5</v>
      </c>
      <c r="H14" s="1" t="s">
        <v>23</v>
      </c>
      <c r="I14" s="2">
        <v>45317</v>
      </c>
      <c r="J14" s="3">
        <v>45375</v>
      </c>
      <c r="K14" s="1" t="s">
        <v>49</v>
      </c>
      <c r="L14" s="1" t="s">
        <v>18</v>
      </c>
      <c r="M14" s="1">
        <f t="shared" si="0"/>
        <v>58</v>
      </c>
      <c r="N14" s="1">
        <f t="shared" si="1"/>
        <v>0</v>
      </c>
      <c r="O14" s="8" t="str">
        <f t="shared" si="2"/>
        <v>18-25</v>
      </c>
    </row>
    <row r="15" spans="1:15" x14ac:dyDescent="0.3">
      <c r="A15">
        <v>1096</v>
      </c>
      <c r="B15" s="1" t="s">
        <v>32</v>
      </c>
      <c r="C15">
        <v>19</v>
      </c>
      <c r="D15" s="1" t="s">
        <v>13</v>
      </c>
      <c r="E15" s="1" t="s">
        <v>21</v>
      </c>
      <c r="F15" s="1" t="s">
        <v>50</v>
      </c>
      <c r="G15">
        <v>5</v>
      </c>
      <c r="H15" s="1" t="s">
        <v>47</v>
      </c>
      <c r="I15" s="2">
        <v>45368</v>
      </c>
      <c r="J15" s="3">
        <v>45352</v>
      </c>
      <c r="K15" s="1" t="s">
        <v>49</v>
      </c>
      <c r="L15" s="1" t="s">
        <v>51</v>
      </c>
      <c r="M15" s="1">
        <f t="shared" si="0"/>
        <v>-16</v>
      </c>
      <c r="N15" s="1">
        <f t="shared" si="1"/>
        <v>0</v>
      </c>
      <c r="O15" s="8" t="str">
        <f t="shared" si="2"/>
        <v>18-25</v>
      </c>
    </row>
    <row r="16" spans="1:15" x14ac:dyDescent="0.3">
      <c r="A16">
        <v>1113</v>
      </c>
      <c r="B16" s="1" t="s">
        <v>32</v>
      </c>
      <c r="C16">
        <v>18</v>
      </c>
      <c r="D16" s="1" t="s">
        <v>20</v>
      </c>
      <c r="E16" s="1" t="s">
        <v>21</v>
      </c>
      <c r="F16" s="1" t="s">
        <v>52</v>
      </c>
      <c r="G16">
        <v>1</v>
      </c>
      <c r="H16" s="1" t="s">
        <v>47</v>
      </c>
      <c r="I16" s="2">
        <v>45344</v>
      </c>
      <c r="J16" s="3">
        <v>45309</v>
      </c>
      <c r="K16" s="1" t="s">
        <v>31</v>
      </c>
      <c r="L16" s="1" t="s">
        <v>36</v>
      </c>
      <c r="M16" s="1">
        <f t="shared" si="0"/>
        <v>-35</v>
      </c>
      <c r="N16" s="1">
        <f t="shared" si="1"/>
        <v>0</v>
      </c>
      <c r="O16" s="8" t="str">
        <f t="shared" si="2"/>
        <v>18-25</v>
      </c>
    </row>
    <row r="17" spans="1:15" x14ac:dyDescent="0.3">
      <c r="A17">
        <v>1126</v>
      </c>
      <c r="B17" s="1" t="s">
        <v>53</v>
      </c>
      <c r="C17">
        <v>20</v>
      </c>
      <c r="D17" s="1" t="s">
        <v>13</v>
      </c>
      <c r="E17" s="1" t="s">
        <v>26</v>
      </c>
      <c r="F17" s="1" t="s">
        <v>54</v>
      </c>
      <c r="G17">
        <v>5</v>
      </c>
      <c r="H17" s="1" t="s">
        <v>23</v>
      </c>
      <c r="I17" s="2">
        <v>45305</v>
      </c>
      <c r="J17" s="3">
        <v>45392</v>
      </c>
      <c r="K17" s="1" t="s">
        <v>31</v>
      </c>
      <c r="L17" s="1" t="s">
        <v>34</v>
      </c>
      <c r="M17" s="1">
        <f t="shared" si="0"/>
        <v>87</v>
      </c>
      <c r="N17" s="1">
        <f t="shared" si="1"/>
        <v>0</v>
      </c>
      <c r="O17" s="8" t="str">
        <f t="shared" si="2"/>
        <v>18-25</v>
      </c>
    </row>
    <row r="18" spans="1:15" x14ac:dyDescent="0.3">
      <c r="A18">
        <v>1047</v>
      </c>
      <c r="B18" s="1" t="s">
        <v>25</v>
      </c>
      <c r="C18">
        <v>40</v>
      </c>
      <c r="D18" s="1" t="s">
        <v>20</v>
      </c>
      <c r="E18" s="1" t="s">
        <v>37</v>
      </c>
      <c r="F18" s="1" t="s">
        <v>55</v>
      </c>
      <c r="G18">
        <v>5</v>
      </c>
      <c r="H18" s="1" t="s">
        <v>16</v>
      </c>
      <c r="I18" s="2">
        <v>45451</v>
      </c>
      <c r="J18" s="3">
        <v>45391</v>
      </c>
      <c r="K18" s="1" t="s">
        <v>28</v>
      </c>
      <c r="L18" s="1" t="s">
        <v>56</v>
      </c>
      <c r="M18" s="1">
        <f t="shared" si="0"/>
        <v>-60</v>
      </c>
      <c r="N18" s="1">
        <f t="shared" si="1"/>
        <v>1</v>
      </c>
      <c r="O18" s="8" t="str">
        <f t="shared" si="2"/>
        <v>36-50</v>
      </c>
    </row>
    <row r="19" spans="1:15" x14ac:dyDescent="0.3">
      <c r="A19">
        <v>1073</v>
      </c>
      <c r="B19" s="1" t="s">
        <v>57</v>
      </c>
      <c r="C19">
        <v>25</v>
      </c>
      <c r="D19" s="1" t="s">
        <v>20</v>
      </c>
      <c r="E19" s="1" t="s">
        <v>37</v>
      </c>
      <c r="F19" s="1" t="s">
        <v>58</v>
      </c>
      <c r="G19">
        <v>1</v>
      </c>
      <c r="H19" s="1" t="s">
        <v>42</v>
      </c>
      <c r="I19" s="2">
        <v>45379</v>
      </c>
      <c r="J19" s="3">
        <v>45293</v>
      </c>
      <c r="K19" s="1" t="s">
        <v>17</v>
      </c>
      <c r="L19" s="1" t="s">
        <v>51</v>
      </c>
      <c r="M19" s="1">
        <f t="shared" si="0"/>
        <v>-86</v>
      </c>
      <c r="N19" s="1">
        <f t="shared" si="1"/>
        <v>0</v>
      </c>
      <c r="O19" s="8" t="str">
        <f t="shared" si="2"/>
        <v>18-25</v>
      </c>
    </row>
    <row r="20" spans="1:15" x14ac:dyDescent="0.3">
      <c r="A20">
        <v>1032</v>
      </c>
      <c r="B20" s="1" t="s">
        <v>59</v>
      </c>
      <c r="C20">
        <v>26</v>
      </c>
      <c r="D20" s="1" t="s">
        <v>20</v>
      </c>
      <c r="E20" s="1" t="s">
        <v>21</v>
      </c>
      <c r="F20" s="1" t="s">
        <v>60</v>
      </c>
      <c r="G20">
        <v>5</v>
      </c>
      <c r="H20" s="1" t="s">
        <v>23</v>
      </c>
      <c r="I20" s="2">
        <v>45358</v>
      </c>
      <c r="J20" s="3">
        <v>45342</v>
      </c>
      <c r="K20" s="1" t="s">
        <v>28</v>
      </c>
      <c r="L20" s="1" t="s">
        <v>24</v>
      </c>
      <c r="M20" s="1">
        <f t="shared" si="0"/>
        <v>-16</v>
      </c>
      <c r="N20" s="1">
        <f t="shared" si="1"/>
        <v>1</v>
      </c>
      <c r="O20" s="8" t="str">
        <f t="shared" si="2"/>
        <v>26-35</v>
      </c>
    </row>
    <row r="21" spans="1:15" x14ac:dyDescent="0.3">
      <c r="A21">
        <v>1430</v>
      </c>
      <c r="B21" s="1" t="s">
        <v>19</v>
      </c>
      <c r="C21">
        <v>22</v>
      </c>
      <c r="D21" s="1" t="s">
        <v>13</v>
      </c>
      <c r="E21" s="1" t="s">
        <v>37</v>
      </c>
      <c r="F21" s="1" t="s">
        <v>61</v>
      </c>
      <c r="G21">
        <v>5</v>
      </c>
      <c r="H21" s="1" t="s">
        <v>42</v>
      </c>
      <c r="I21" s="2">
        <v>45538</v>
      </c>
      <c r="J21" s="3">
        <v>45429</v>
      </c>
      <c r="K21" s="1" t="s">
        <v>28</v>
      </c>
      <c r="L21" s="1" t="s">
        <v>56</v>
      </c>
      <c r="M21" s="1">
        <f t="shared" si="0"/>
        <v>-109</v>
      </c>
      <c r="N21" s="1">
        <f t="shared" si="1"/>
        <v>1</v>
      </c>
      <c r="O21" s="8" t="str">
        <f t="shared" si="2"/>
        <v>18-25</v>
      </c>
    </row>
    <row r="22" spans="1:15" x14ac:dyDescent="0.3">
      <c r="A22">
        <v>1224</v>
      </c>
      <c r="B22" s="1" t="s">
        <v>40</v>
      </c>
      <c r="C22">
        <v>30</v>
      </c>
      <c r="D22" s="1" t="s">
        <v>13</v>
      </c>
      <c r="E22" s="1" t="s">
        <v>21</v>
      </c>
      <c r="F22" s="1" t="s">
        <v>62</v>
      </c>
      <c r="G22">
        <v>1</v>
      </c>
      <c r="H22" s="1" t="s">
        <v>47</v>
      </c>
      <c r="I22" s="2">
        <v>45406</v>
      </c>
      <c r="J22" s="3">
        <v>45447</v>
      </c>
      <c r="K22" s="1" t="s">
        <v>49</v>
      </c>
      <c r="L22" s="1" t="s">
        <v>34</v>
      </c>
      <c r="M22" s="1">
        <f t="shared" si="0"/>
        <v>41</v>
      </c>
      <c r="N22" s="1">
        <f t="shared" si="1"/>
        <v>0</v>
      </c>
      <c r="O22" s="8" t="str">
        <f t="shared" si="2"/>
        <v>26-35</v>
      </c>
    </row>
    <row r="23" spans="1:15" x14ac:dyDescent="0.3">
      <c r="A23">
        <v>1111</v>
      </c>
      <c r="B23" s="1" t="s">
        <v>40</v>
      </c>
      <c r="C23">
        <v>26</v>
      </c>
      <c r="D23" s="1" t="s">
        <v>20</v>
      </c>
      <c r="E23" s="1" t="s">
        <v>21</v>
      </c>
      <c r="F23" s="1" t="s">
        <v>63</v>
      </c>
      <c r="G23">
        <v>2</v>
      </c>
      <c r="H23" s="1" t="s">
        <v>16</v>
      </c>
      <c r="I23" s="2">
        <v>45303</v>
      </c>
      <c r="J23" s="3">
        <v>45363</v>
      </c>
      <c r="K23" s="1" t="s">
        <v>17</v>
      </c>
      <c r="L23" s="1" t="s">
        <v>29</v>
      </c>
      <c r="M23" s="1">
        <f t="shared" si="0"/>
        <v>60</v>
      </c>
      <c r="N23" s="1">
        <f t="shared" si="1"/>
        <v>0</v>
      </c>
      <c r="O23" s="8" t="str">
        <f t="shared" si="2"/>
        <v>26-35</v>
      </c>
    </row>
    <row r="24" spans="1:15" x14ac:dyDescent="0.3">
      <c r="A24">
        <v>1409</v>
      </c>
      <c r="B24" s="1" t="s">
        <v>64</v>
      </c>
      <c r="C24">
        <v>20</v>
      </c>
      <c r="D24" s="1" t="s">
        <v>20</v>
      </c>
      <c r="E24" s="1" t="s">
        <v>37</v>
      </c>
      <c r="F24" s="1" t="s">
        <v>65</v>
      </c>
      <c r="G24">
        <v>3</v>
      </c>
      <c r="H24" s="1" t="s">
        <v>47</v>
      </c>
      <c r="I24" s="2">
        <v>45506</v>
      </c>
      <c r="J24" s="3">
        <v>45328</v>
      </c>
      <c r="K24" s="1" t="s">
        <v>17</v>
      </c>
      <c r="L24" s="1" t="s">
        <v>36</v>
      </c>
      <c r="M24" s="1">
        <f t="shared" si="0"/>
        <v>-178</v>
      </c>
      <c r="N24" s="1">
        <f t="shared" si="1"/>
        <v>0</v>
      </c>
      <c r="O24" s="8" t="str">
        <f t="shared" si="2"/>
        <v>18-25</v>
      </c>
    </row>
    <row r="25" spans="1:15" x14ac:dyDescent="0.3">
      <c r="A25">
        <v>1339</v>
      </c>
      <c r="B25" s="1" t="s">
        <v>64</v>
      </c>
      <c r="C25">
        <v>25</v>
      </c>
      <c r="D25" s="1" t="s">
        <v>13</v>
      </c>
      <c r="E25" s="1" t="s">
        <v>21</v>
      </c>
      <c r="F25" s="1" t="s">
        <v>66</v>
      </c>
      <c r="G25">
        <v>4</v>
      </c>
      <c r="H25" s="1" t="s">
        <v>16</v>
      </c>
      <c r="I25" s="2">
        <v>45426</v>
      </c>
      <c r="J25" s="3">
        <v>45461</v>
      </c>
      <c r="K25" s="1" t="s">
        <v>49</v>
      </c>
      <c r="L25" s="1" t="s">
        <v>51</v>
      </c>
      <c r="M25" s="1">
        <f t="shared" si="0"/>
        <v>35</v>
      </c>
      <c r="N25" s="1">
        <f t="shared" si="1"/>
        <v>0</v>
      </c>
      <c r="O25" s="8" t="str">
        <f t="shared" si="2"/>
        <v>18-25</v>
      </c>
    </row>
    <row r="26" spans="1:15" x14ac:dyDescent="0.3">
      <c r="A26">
        <v>1334</v>
      </c>
      <c r="B26" s="1" t="s">
        <v>53</v>
      </c>
      <c r="C26">
        <v>22</v>
      </c>
      <c r="D26" s="1" t="s">
        <v>20</v>
      </c>
      <c r="E26" s="1" t="s">
        <v>14</v>
      </c>
      <c r="F26" s="1" t="s">
        <v>67</v>
      </c>
      <c r="G26">
        <v>4</v>
      </c>
      <c r="H26" s="1" t="s">
        <v>23</v>
      </c>
      <c r="I26" s="2">
        <v>45328</v>
      </c>
      <c r="J26" s="3">
        <v>45390</v>
      </c>
      <c r="K26" s="1" t="s">
        <v>49</v>
      </c>
      <c r="L26" s="1" t="s">
        <v>29</v>
      </c>
      <c r="M26" s="1">
        <f t="shared" si="0"/>
        <v>62</v>
      </c>
      <c r="N26" s="1">
        <f t="shared" si="1"/>
        <v>0</v>
      </c>
      <c r="O26" s="8" t="str">
        <f t="shared" si="2"/>
        <v>18-25</v>
      </c>
    </row>
    <row r="27" spans="1:15" x14ac:dyDescent="0.3">
      <c r="A27">
        <v>1253</v>
      </c>
      <c r="B27" s="1" t="s">
        <v>59</v>
      </c>
      <c r="C27">
        <v>25</v>
      </c>
      <c r="D27" s="1" t="s">
        <v>20</v>
      </c>
      <c r="E27" s="1" t="s">
        <v>26</v>
      </c>
      <c r="F27" s="1" t="s">
        <v>68</v>
      </c>
      <c r="G27">
        <v>2</v>
      </c>
      <c r="H27" s="1" t="s">
        <v>16</v>
      </c>
      <c r="I27" s="2">
        <v>45374</v>
      </c>
      <c r="J27" s="3">
        <v>45294</v>
      </c>
      <c r="K27" s="1" t="s">
        <v>28</v>
      </c>
      <c r="L27" s="1" t="s">
        <v>18</v>
      </c>
      <c r="M27" s="1">
        <f t="shared" si="0"/>
        <v>-80</v>
      </c>
      <c r="N27" s="1">
        <f t="shared" si="1"/>
        <v>1</v>
      </c>
      <c r="O27" s="8" t="str">
        <f t="shared" si="2"/>
        <v>18-25</v>
      </c>
    </row>
    <row r="28" spans="1:15" x14ac:dyDescent="0.3">
      <c r="A28">
        <v>1420</v>
      </c>
      <c r="B28" s="1" t="s">
        <v>19</v>
      </c>
      <c r="C28">
        <v>19</v>
      </c>
      <c r="D28" s="1" t="s">
        <v>13</v>
      </c>
      <c r="E28" s="1" t="s">
        <v>21</v>
      </c>
      <c r="F28" s="1" t="s">
        <v>69</v>
      </c>
      <c r="G28">
        <v>3</v>
      </c>
      <c r="H28" s="1" t="s">
        <v>47</v>
      </c>
      <c r="I28" s="2">
        <v>45420</v>
      </c>
      <c r="J28" s="3">
        <v>45446</v>
      </c>
      <c r="K28" s="1" t="s">
        <v>31</v>
      </c>
      <c r="L28" s="1" t="s">
        <v>34</v>
      </c>
      <c r="M28" s="1">
        <f t="shared" si="0"/>
        <v>26</v>
      </c>
      <c r="N28" s="1">
        <f t="shared" si="1"/>
        <v>0</v>
      </c>
      <c r="O28" s="8" t="str">
        <f t="shared" si="2"/>
        <v>18-25</v>
      </c>
    </row>
    <row r="29" spans="1:15" x14ac:dyDescent="0.3">
      <c r="A29">
        <v>1096</v>
      </c>
      <c r="B29" s="1" t="s">
        <v>19</v>
      </c>
      <c r="C29">
        <v>26</v>
      </c>
      <c r="D29" s="1" t="s">
        <v>20</v>
      </c>
      <c r="E29" s="1" t="s">
        <v>21</v>
      </c>
      <c r="F29" s="1" t="s">
        <v>70</v>
      </c>
      <c r="G29">
        <v>5</v>
      </c>
      <c r="H29" s="1" t="s">
        <v>47</v>
      </c>
      <c r="I29" s="2">
        <v>45345</v>
      </c>
      <c r="J29" s="3">
        <v>45456</v>
      </c>
      <c r="K29" s="1" t="s">
        <v>31</v>
      </c>
      <c r="L29" s="1" t="s">
        <v>34</v>
      </c>
      <c r="M29" s="1">
        <f t="shared" si="0"/>
        <v>111</v>
      </c>
      <c r="N29" s="1">
        <f t="shared" si="1"/>
        <v>0</v>
      </c>
      <c r="O29" s="8" t="str">
        <f t="shared" si="2"/>
        <v>26-35</v>
      </c>
    </row>
    <row r="30" spans="1:15" x14ac:dyDescent="0.3">
      <c r="A30">
        <v>1208</v>
      </c>
      <c r="B30" s="1" t="s">
        <v>71</v>
      </c>
      <c r="C30">
        <v>22</v>
      </c>
      <c r="D30" s="1" t="s">
        <v>13</v>
      </c>
      <c r="E30" s="1" t="s">
        <v>26</v>
      </c>
      <c r="F30" s="1" t="s">
        <v>72</v>
      </c>
      <c r="G30">
        <v>5</v>
      </c>
      <c r="H30" s="1" t="s">
        <v>23</v>
      </c>
      <c r="I30" s="2">
        <v>45398</v>
      </c>
      <c r="J30" s="3">
        <v>45453</v>
      </c>
      <c r="K30" s="1" t="s">
        <v>31</v>
      </c>
      <c r="L30" s="1" t="s">
        <v>51</v>
      </c>
      <c r="M30" s="1">
        <f t="shared" si="0"/>
        <v>55</v>
      </c>
      <c r="N30" s="1">
        <f t="shared" si="1"/>
        <v>0</v>
      </c>
      <c r="O30" s="8" t="str">
        <f t="shared" si="2"/>
        <v>18-25</v>
      </c>
    </row>
    <row r="31" spans="1:15" x14ac:dyDescent="0.3">
      <c r="A31">
        <v>1068</v>
      </c>
      <c r="B31" s="1" t="s">
        <v>53</v>
      </c>
      <c r="C31">
        <v>39</v>
      </c>
      <c r="D31" s="1" t="s">
        <v>20</v>
      </c>
      <c r="E31" s="1" t="s">
        <v>21</v>
      </c>
      <c r="F31" s="1" t="s">
        <v>73</v>
      </c>
      <c r="G31">
        <v>3</v>
      </c>
      <c r="H31" s="1" t="s">
        <v>16</v>
      </c>
      <c r="I31" s="2">
        <v>45366</v>
      </c>
      <c r="J31" s="3">
        <v>45295</v>
      </c>
      <c r="K31" s="1" t="s">
        <v>31</v>
      </c>
      <c r="L31" s="1" t="s">
        <v>24</v>
      </c>
      <c r="M31" s="1">
        <f t="shared" si="0"/>
        <v>-71</v>
      </c>
      <c r="N31" s="1">
        <f t="shared" si="1"/>
        <v>0</v>
      </c>
      <c r="O31" s="8" t="str">
        <f t="shared" si="2"/>
        <v>36-50</v>
      </c>
    </row>
    <row r="32" spans="1:15" x14ac:dyDescent="0.3">
      <c r="A32">
        <v>1305</v>
      </c>
      <c r="B32" s="1" t="s">
        <v>74</v>
      </c>
      <c r="C32">
        <v>26</v>
      </c>
      <c r="D32" s="1" t="s">
        <v>20</v>
      </c>
      <c r="E32" s="1" t="s">
        <v>26</v>
      </c>
      <c r="F32" s="1" t="s">
        <v>75</v>
      </c>
      <c r="G32">
        <v>5</v>
      </c>
      <c r="H32" s="1" t="s">
        <v>16</v>
      </c>
      <c r="I32" s="2">
        <v>45312</v>
      </c>
      <c r="J32" s="3">
        <v>45403</v>
      </c>
      <c r="K32" s="1" t="s">
        <v>31</v>
      </c>
      <c r="L32" s="1" t="s">
        <v>43</v>
      </c>
      <c r="M32" s="1">
        <f t="shared" si="0"/>
        <v>91</v>
      </c>
      <c r="N32" s="1">
        <f t="shared" si="1"/>
        <v>0</v>
      </c>
      <c r="O32" s="8" t="str">
        <f t="shared" si="2"/>
        <v>26-35</v>
      </c>
    </row>
    <row r="33" spans="1:15" x14ac:dyDescent="0.3">
      <c r="A33">
        <v>1311</v>
      </c>
      <c r="B33" s="1" t="s">
        <v>53</v>
      </c>
      <c r="C33">
        <v>30</v>
      </c>
      <c r="D33" s="1" t="s">
        <v>20</v>
      </c>
      <c r="E33" s="1" t="s">
        <v>14</v>
      </c>
      <c r="F33" s="1" t="s">
        <v>76</v>
      </c>
      <c r="G33">
        <v>5</v>
      </c>
      <c r="H33" s="1" t="s">
        <v>47</v>
      </c>
      <c r="I33" s="2">
        <v>45293</v>
      </c>
      <c r="J33" s="3">
        <v>45376</v>
      </c>
      <c r="K33" s="1" t="s">
        <v>28</v>
      </c>
      <c r="L33" s="1" t="s">
        <v>18</v>
      </c>
      <c r="M33" s="1">
        <f t="shared" si="0"/>
        <v>83</v>
      </c>
      <c r="N33" s="1">
        <f t="shared" si="1"/>
        <v>1</v>
      </c>
      <c r="O33" s="8" t="str">
        <f t="shared" si="2"/>
        <v>26-35</v>
      </c>
    </row>
    <row r="34" spans="1:15" x14ac:dyDescent="0.3">
      <c r="A34">
        <v>1451</v>
      </c>
      <c r="B34" s="1" t="s">
        <v>19</v>
      </c>
      <c r="C34">
        <v>25</v>
      </c>
      <c r="D34" s="1" t="s">
        <v>20</v>
      </c>
      <c r="E34" s="1" t="s">
        <v>26</v>
      </c>
      <c r="F34" s="1" t="s">
        <v>77</v>
      </c>
      <c r="G34">
        <v>4</v>
      </c>
      <c r="H34" s="1" t="s">
        <v>23</v>
      </c>
      <c r="I34" s="2">
        <v>45427</v>
      </c>
      <c r="J34" s="3">
        <v>45401</v>
      </c>
      <c r="K34" s="1" t="s">
        <v>28</v>
      </c>
      <c r="L34" s="1" t="s">
        <v>43</v>
      </c>
      <c r="M34" s="1">
        <f t="shared" si="0"/>
        <v>-26</v>
      </c>
      <c r="N34" s="1">
        <f t="shared" si="1"/>
        <v>1</v>
      </c>
      <c r="O34" s="8" t="str">
        <f t="shared" si="2"/>
        <v>18-25</v>
      </c>
    </row>
    <row r="35" spans="1:15" x14ac:dyDescent="0.3">
      <c r="A35">
        <v>1002</v>
      </c>
      <c r="B35" s="1" t="s">
        <v>25</v>
      </c>
      <c r="C35">
        <v>22</v>
      </c>
      <c r="D35" s="1" t="s">
        <v>20</v>
      </c>
      <c r="E35" s="1" t="s">
        <v>21</v>
      </c>
      <c r="F35" s="1" t="s">
        <v>78</v>
      </c>
      <c r="G35">
        <v>4</v>
      </c>
      <c r="H35" s="1" t="s">
        <v>42</v>
      </c>
      <c r="I35" s="2">
        <v>45308</v>
      </c>
      <c r="J35" s="3">
        <v>45408</v>
      </c>
      <c r="K35" s="1" t="s">
        <v>31</v>
      </c>
      <c r="L35" s="1" t="s">
        <v>43</v>
      </c>
      <c r="M35" s="1">
        <f t="shared" si="0"/>
        <v>100</v>
      </c>
      <c r="N35" s="1">
        <f t="shared" si="1"/>
        <v>0</v>
      </c>
      <c r="O35" s="8" t="str">
        <f t="shared" si="2"/>
        <v>18-25</v>
      </c>
    </row>
    <row r="36" spans="1:15" x14ac:dyDescent="0.3">
      <c r="A36">
        <v>1340</v>
      </c>
      <c r="B36" s="1" t="s">
        <v>71</v>
      </c>
      <c r="C36">
        <v>25</v>
      </c>
      <c r="D36" s="1" t="s">
        <v>13</v>
      </c>
      <c r="E36" s="1" t="s">
        <v>14</v>
      </c>
      <c r="F36" s="1" t="s">
        <v>79</v>
      </c>
      <c r="G36">
        <v>1</v>
      </c>
      <c r="H36" s="1" t="s">
        <v>23</v>
      </c>
      <c r="I36" s="2">
        <v>45505</v>
      </c>
      <c r="J36" s="3">
        <v>45405</v>
      </c>
      <c r="K36" s="1" t="s">
        <v>28</v>
      </c>
      <c r="L36" s="1" t="s">
        <v>56</v>
      </c>
      <c r="M36" s="1">
        <f t="shared" si="0"/>
        <v>-100</v>
      </c>
      <c r="N36" s="1">
        <f t="shared" si="1"/>
        <v>1</v>
      </c>
      <c r="O36" s="8" t="str">
        <f t="shared" si="2"/>
        <v>18-25</v>
      </c>
    </row>
    <row r="37" spans="1:15" x14ac:dyDescent="0.3">
      <c r="A37">
        <v>1039</v>
      </c>
      <c r="B37" s="1" t="s">
        <v>12</v>
      </c>
      <c r="C37">
        <v>19</v>
      </c>
      <c r="D37" s="1" t="s">
        <v>13</v>
      </c>
      <c r="E37" s="1" t="s">
        <v>21</v>
      </c>
      <c r="F37" s="1" t="s">
        <v>80</v>
      </c>
      <c r="G37">
        <v>4</v>
      </c>
      <c r="H37" s="1" t="s">
        <v>47</v>
      </c>
      <c r="I37" s="2">
        <v>45440</v>
      </c>
      <c r="J37" s="3">
        <v>45400</v>
      </c>
      <c r="K37" s="1" t="s">
        <v>31</v>
      </c>
      <c r="L37" s="1" t="s">
        <v>43</v>
      </c>
      <c r="M37" s="1">
        <f t="shared" si="0"/>
        <v>-40</v>
      </c>
      <c r="N37" s="1">
        <f t="shared" si="1"/>
        <v>0</v>
      </c>
      <c r="O37" s="8" t="str">
        <f t="shared" si="2"/>
        <v>18-25</v>
      </c>
    </row>
    <row r="38" spans="1:15" x14ac:dyDescent="0.3">
      <c r="A38">
        <v>1322</v>
      </c>
      <c r="B38" s="1" t="s">
        <v>64</v>
      </c>
      <c r="C38">
        <v>26</v>
      </c>
      <c r="D38" s="1" t="s">
        <v>20</v>
      </c>
      <c r="E38" s="1" t="s">
        <v>37</v>
      </c>
      <c r="F38" s="1" t="s">
        <v>81</v>
      </c>
      <c r="G38">
        <v>4</v>
      </c>
      <c r="H38" s="1" t="s">
        <v>16</v>
      </c>
      <c r="I38" s="2">
        <v>45384</v>
      </c>
      <c r="J38" s="3">
        <v>45311</v>
      </c>
      <c r="K38" s="1" t="s">
        <v>28</v>
      </c>
      <c r="L38" s="1" t="s">
        <v>34</v>
      </c>
      <c r="M38" s="1">
        <f t="shared" si="0"/>
        <v>-73</v>
      </c>
      <c r="N38" s="1">
        <f t="shared" si="1"/>
        <v>1</v>
      </c>
      <c r="O38" s="8" t="str">
        <f t="shared" si="2"/>
        <v>26-35</v>
      </c>
    </row>
    <row r="39" spans="1:15" x14ac:dyDescent="0.3">
      <c r="A39">
        <v>1084</v>
      </c>
      <c r="B39" s="1" t="s">
        <v>32</v>
      </c>
      <c r="C39">
        <v>18</v>
      </c>
      <c r="D39" s="1" t="s">
        <v>13</v>
      </c>
      <c r="E39" s="1" t="s">
        <v>21</v>
      </c>
      <c r="F39" s="1" t="s">
        <v>82</v>
      </c>
      <c r="G39">
        <v>4</v>
      </c>
      <c r="H39" s="1" t="s">
        <v>47</v>
      </c>
      <c r="I39" s="2">
        <v>45438</v>
      </c>
      <c r="J39" s="3">
        <v>45385</v>
      </c>
      <c r="K39" s="1" t="s">
        <v>28</v>
      </c>
      <c r="L39" s="1" t="s">
        <v>24</v>
      </c>
      <c r="M39" s="1">
        <f t="shared" si="0"/>
        <v>-53</v>
      </c>
      <c r="N39" s="1">
        <f t="shared" si="1"/>
        <v>1</v>
      </c>
      <c r="O39" s="8" t="str">
        <f t="shared" si="2"/>
        <v>18-25</v>
      </c>
    </row>
    <row r="40" spans="1:15" x14ac:dyDescent="0.3">
      <c r="A40">
        <v>1047</v>
      </c>
      <c r="B40" s="1" t="s">
        <v>59</v>
      </c>
      <c r="C40">
        <v>20</v>
      </c>
      <c r="D40" s="1" t="s">
        <v>13</v>
      </c>
      <c r="E40" s="1" t="s">
        <v>21</v>
      </c>
      <c r="F40" s="1" t="s">
        <v>83</v>
      </c>
      <c r="G40">
        <v>4</v>
      </c>
      <c r="H40" s="1" t="s">
        <v>42</v>
      </c>
      <c r="I40" s="2">
        <v>45334</v>
      </c>
      <c r="J40" s="3">
        <v>45400</v>
      </c>
      <c r="K40" s="1" t="s">
        <v>28</v>
      </c>
      <c r="L40" s="1" t="s">
        <v>51</v>
      </c>
      <c r="M40" s="1">
        <f t="shared" si="0"/>
        <v>66</v>
      </c>
      <c r="N40" s="1">
        <f t="shared" si="1"/>
        <v>1</v>
      </c>
      <c r="O40" s="8" t="str">
        <f t="shared" si="2"/>
        <v>18-25</v>
      </c>
    </row>
    <row r="41" spans="1:15" x14ac:dyDescent="0.3">
      <c r="A41">
        <v>1445</v>
      </c>
      <c r="B41" s="1" t="s">
        <v>32</v>
      </c>
      <c r="C41">
        <v>25</v>
      </c>
      <c r="D41" s="1" t="s">
        <v>20</v>
      </c>
      <c r="E41" s="1" t="s">
        <v>37</v>
      </c>
      <c r="F41" s="1" t="s">
        <v>84</v>
      </c>
      <c r="G41">
        <v>4</v>
      </c>
      <c r="H41" s="1" t="s">
        <v>42</v>
      </c>
      <c r="I41" s="2">
        <v>45324</v>
      </c>
      <c r="J41" s="3">
        <v>45392</v>
      </c>
      <c r="K41" s="1" t="s">
        <v>28</v>
      </c>
      <c r="L41" s="1" t="s">
        <v>24</v>
      </c>
      <c r="M41" s="1">
        <f t="shared" si="0"/>
        <v>68</v>
      </c>
      <c r="N41" s="1">
        <f t="shared" si="1"/>
        <v>1</v>
      </c>
      <c r="O41" s="8" t="str">
        <f t="shared" si="2"/>
        <v>18-25</v>
      </c>
    </row>
    <row r="42" spans="1:15" x14ac:dyDescent="0.3">
      <c r="A42">
        <v>1176</v>
      </c>
      <c r="B42" s="1" t="s">
        <v>40</v>
      </c>
      <c r="C42">
        <v>22</v>
      </c>
      <c r="D42" s="1" t="s">
        <v>20</v>
      </c>
      <c r="E42" s="1" t="s">
        <v>21</v>
      </c>
      <c r="F42" s="1" t="s">
        <v>85</v>
      </c>
      <c r="G42">
        <v>4</v>
      </c>
      <c r="H42" s="1" t="s">
        <v>47</v>
      </c>
      <c r="I42" s="2">
        <v>45399</v>
      </c>
      <c r="J42" s="3">
        <v>45323</v>
      </c>
      <c r="K42" s="1" t="s">
        <v>31</v>
      </c>
      <c r="L42" s="1" t="s">
        <v>29</v>
      </c>
      <c r="M42" s="1">
        <f t="shared" si="0"/>
        <v>-76</v>
      </c>
      <c r="N42" s="1">
        <f t="shared" si="1"/>
        <v>0</v>
      </c>
      <c r="O42" s="8" t="str">
        <f t="shared" si="2"/>
        <v>18-25</v>
      </c>
    </row>
    <row r="43" spans="1:15" x14ac:dyDescent="0.3">
      <c r="A43">
        <v>1135</v>
      </c>
      <c r="B43" s="1" t="s">
        <v>25</v>
      </c>
      <c r="C43">
        <v>40</v>
      </c>
      <c r="D43" s="1" t="s">
        <v>13</v>
      </c>
      <c r="E43" s="1" t="s">
        <v>37</v>
      </c>
      <c r="F43" s="1" t="s">
        <v>86</v>
      </c>
      <c r="G43">
        <v>1</v>
      </c>
      <c r="H43" s="1" t="s">
        <v>23</v>
      </c>
      <c r="I43" s="2">
        <v>45311</v>
      </c>
      <c r="J43" s="3">
        <v>45429</v>
      </c>
      <c r="K43" s="1" t="s">
        <v>31</v>
      </c>
      <c r="L43" s="1" t="s">
        <v>43</v>
      </c>
      <c r="M43" s="1">
        <f t="shared" si="0"/>
        <v>118</v>
      </c>
      <c r="N43" s="1">
        <f t="shared" si="1"/>
        <v>0</v>
      </c>
      <c r="O43" s="8" t="str">
        <f t="shared" si="2"/>
        <v>36-50</v>
      </c>
    </row>
    <row r="44" spans="1:15" x14ac:dyDescent="0.3">
      <c r="A44">
        <v>1361</v>
      </c>
      <c r="B44" s="1" t="s">
        <v>40</v>
      </c>
      <c r="C44">
        <v>25</v>
      </c>
      <c r="D44" s="1" t="s">
        <v>13</v>
      </c>
      <c r="E44" s="1" t="s">
        <v>21</v>
      </c>
      <c r="F44" s="1" t="s">
        <v>87</v>
      </c>
      <c r="G44">
        <v>5</v>
      </c>
      <c r="H44" s="1" t="s">
        <v>47</v>
      </c>
      <c r="I44" s="2">
        <v>45336</v>
      </c>
      <c r="J44" s="3">
        <v>45409</v>
      </c>
      <c r="K44" s="1" t="s">
        <v>28</v>
      </c>
      <c r="L44" s="1" t="s">
        <v>56</v>
      </c>
      <c r="M44" s="1">
        <f t="shared" si="0"/>
        <v>73</v>
      </c>
      <c r="N44" s="1">
        <f t="shared" si="1"/>
        <v>1</v>
      </c>
      <c r="O44" s="8" t="str">
        <f t="shared" si="2"/>
        <v>18-25</v>
      </c>
    </row>
    <row r="45" spans="1:15" x14ac:dyDescent="0.3">
      <c r="A45">
        <v>1099</v>
      </c>
      <c r="B45" s="1" t="s">
        <v>71</v>
      </c>
      <c r="C45">
        <v>40</v>
      </c>
      <c r="D45" s="1" t="s">
        <v>20</v>
      </c>
      <c r="E45" s="1" t="s">
        <v>26</v>
      </c>
      <c r="F45" s="1" t="s">
        <v>88</v>
      </c>
      <c r="G45">
        <v>1</v>
      </c>
      <c r="H45" s="1" t="s">
        <v>23</v>
      </c>
      <c r="I45" s="2">
        <v>45309</v>
      </c>
      <c r="J45" s="3">
        <v>45569</v>
      </c>
      <c r="K45" s="1" t="s">
        <v>31</v>
      </c>
      <c r="L45" s="1" t="s">
        <v>43</v>
      </c>
      <c r="M45" s="1">
        <f t="shared" si="0"/>
        <v>260</v>
      </c>
      <c r="N45" s="1">
        <f t="shared" si="1"/>
        <v>0</v>
      </c>
      <c r="O45" s="8" t="str">
        <f t="shared" si="2"/>
        <v>36-50</v>
      </c>
    </row>
    <row r="46" spans="1:15" x14ac:dyDescent="0.3">
      <c r="A46">
        <v>1380</v>
      </c>
      <c r="B46" s="1" t="s">
        <v>53</v>
      </c>
      <c r="C46">
        <v>25</v>
      </c>
      <c r="D46" s="1" t="s">
        <v>13</v>
      </c>
      <c r="E46" s="1" t="s">
        <v>26</v>
      </c>
      <c r="F46" s="1" t="s">
        <v>89</v>
      </c>
      <c r="G46">
        <v>5</v>
      </c>
      <c r="H46" s="1" t="s">
        <v>42</v>
      </c>
      <c r="I46" s="2">
        <v>45456</v>
      </c>
      <c r="J46" s="3">
        <v>45359</v>
      </c>
      <c r="K46" s="1" t="s">
        <v>28</v>
      </c>
      <c r="L46" s="1" t="s">
        <v>29</v>
      </c>
      <c r="M46" s="1">
        <f t="shared" si="0"/>
        <v>-97</v>
      </c>
      <c r="N46" s="1">
        <f t="shared" si="1"/>
        <v>1</v>
      </c>
      <c r="O46" s="8" t="str">
        <f t="shared" si="2"/>
        <v>18-25</v>
      </c>
    </row>
    <row r="47" spans="1:15" x14ac:dyDescent="0.3">
      <c r="A47">
        <v>1348</v>
      </c>
      <c r="B47" s="1" t="s">
        <v>74</v>
      </c>
      <c r="C47">
        <v>18</v>
      </c>
      <c r="D47" s="1" t="s">
        <v>20</v>
      </c>
      <c r="E47" s="1" t="s">
        <v>21</v>
      </c>
      <c r="F47" s="1" t="s">
        <v>90</v>
      </c>
      <c r="G47">
        <v>4</v>
      </c>
      <c r="H47" s="1" t="s">
        <v>16</v>
      </c>
      <c r="I47" s="2">
        <v>45327</v>
      </c>
      <c r="J47" s="3">
        <v>45445</v>
      </c>
      <c r="K47" s="1" t="s">
        <v>49</v>
      </c>
      <c r="L47" s="1" t="s">
        <v>36</v>
      </c>
      <c r="M47" s="1">
        <f t="shared" si="0"/>
        <v>118</v>
      </c>
      <c r="N47" s="1">
        <f t="shared" si="1"/>
        <v>0</v>
      </c>
      <c r="O47" s="8" t="str">
        <f t="shared" si="2"/>
        <v>18-25</v>
      </c>
    </row>
    <row r="48" spans="1:15" x14ac:dyDescent="0.3">
      <c r="A48">
        <v>1180</v>
      </c>
      <c r="B48" s="1" t="s">
        <v>40</v>
      </c>
      <c r="C48">
        <v>25</v>
      </c>
      <c r="D48" s="1" t="s">
        <v>20</v>
      </c>
      <c r="E48" s="1" t="s">
        <v>14</v>
      </c>
      <c r="F48" s="1" t="s">
        <v>91</v>
      </c>
      <c r="G48">
        <v>5</v>
      </c>
      <c r="H48" s="1" t="s">
        <v>47</v>
      </c>
      <c r="I48" s="2">
        <v>45429</v>
      </c>
      <c r="J48" s="3">
        <v>45367</v>
      </c>
      <c r="K48" s="1" t="s">
        <v>49</v>
      </c>
      <c r="L48" s="1" t="s">
        <v>36</v>
      </c>
      <c r="M48" s="1">
        <f t="shared" si="0"/>
        <v>-62</v>
      </c>
      <c r="N48" s="1">
        <f t="shared" si="1"/>
        <v>0</v>
      </c>
      <c r="O48" s="8" t="str">
        <f t="shared" si="2"/>
        <v>18-25</v>
      </c>
    </row>
    <row r="49" spans="1:15" x14ac:dyDescent="0.3">
      <c r="A49">
        <v>1358</v>
      </c>
      <c r="B49" s="1" t="s">
        <v>53</v>
      </c>
      <c r="C49">
        <v>24</v>
      </c>
      <c r="D49" s="1" t="s">
        <v>20</v>
      </c>
      <c r="E49" s="1" t="s">
        <v>37</v>
      </c>
      <c r="F49" s="1" t="s">
        <v>92</v>
      </c>
      <c r="G49">
        <v>1</v>
      </c>
      <c r="H49" s="1" t="s">
        <v>16</v>
      </c>
      <c r="I49" s="2">
        <v>45317</v>
      </c>
      <c r="J49" s="3">
        <v>45295</v>
      </c>
      <c r="K49" s="1" t="s">
        <v>28</v>
      </c>
      <c r="L49" s="1" t="s">
        <v>51</v>
      </c>
      <c r="M49" s="1">
        <f t="shared" si="0"/>
        <v>-22</v>
      </c>
      <c r="N49" s="1">
        <f t="shared" si="1"/>
        <v>1</v>
      </c>
      <c r="O49" s="8" t="str">
        <f t="shared" si="2"/>
        <v>18-25</v>
      </c>
    </row>
    <row r="50" spans="1:15" x14ac:dyDescent="0.3">
      <c r="A50">
        <v>1353</v>
      </c>
      <c r="B50" s="1" t="s">
        <v>19</v>
      </c>
      <c r="C50">
        <v>19</v>
      </c>
      <c r="D50" s="1" t="s">
        <v>20</v>
      </c>
      <c r="E50" s="1" t="s">
        <v>37</v>
      </c>
      <c r="F50" s="1" t="s">
        <v>93</v>
      </c>
      <c r="G50">
        <v>3</v>
      </c>
      <c r="H50" s="1" t="s">
        <v>16</v>
      </c>
      <c r="I50" s="2">
        <v>45295</v>
      </c>
      <c r="J50" s="3">
        <v>45327</v>
      </c>
      <c r="K50" s="1" t="s">
        <v>28</v>
      </c>
      <c r="L50" s="1" t="s">
        <v>36</v>
      </c>
      <c r="M50" s="1">
        <f t="shared" si="0"/>
        <v>32</v>
      </c>
      <c r="N50" s="1">
        <f t="shared" si="1"/>
        <v>1</v>
      </c>
      <c r="O50" s="8" t="str">
        <f t="shared" si="2"/>
        <v>18-25</v>
      </c>
    </row>
    <row r="51" spans="1:15" x14ac:dyDescent="0.3">
      <c r="A51">
        <v>1213</v>
      </c>
      <c r="B51" s="1" t="s">
        <v>74</v>
      </c>
      <c r="C51">
        <v>24</v>
      </c>
      <c r="D51" s="1" t="s">
        <v>20</v>
      </c>
      <c r="E51" s="1" t="s">
        <v>37</v>
      </c>
      <c r="F51" s="1" t="s">
        <v>94</v>
      </c>
      <c r="G51">
        <v>1</v>
      </c>
      <c r="H51" s="1" t="s">
        <v>23</v>
      </c>
      <c r="I51" s="2">
        <v>45308</v>
      </c>
      <c r="J51" s="3">
        <v>45353</v>
      </c>
      <c r="K51" s="1" t="s">
        <v>17</v>
      </c>
      <c r="L51" s="1" t="s">
        <v>43</v>
      </c>
      <c r="M51" s="1">
        <f t="shared" si="0"/>
        <v>45</v>
      </c>
      <c r="N51" s="1">
        <f t="shared" si="1"/>
        <v>0</v>
      </c>
      <c r="O51" s="8" t="str">
        <f t="shared" si="2"/>
        <v>18-25</v>
      </c>
    </row>
    <row r="52" spans="1:15" x14ac:dyDescent="0.3">
      <c r="A52">
        <v>1118</v>
      </c>
      <c r="B52" s="1" t="s">
        <v>12</v>
      </c>
      <c r="C52">
        <v>26</v>
      </c>
      <c r="D52" s="1" t="s">
        <v>20</v>
      </c>
      <c r="E52" s="1" t="s">
        <v>21</v>
      </c>
      <c r="F52" s="1" t="s">
        <v>95</v>
      </c>
      <c r="G52">
        <v>5</v>
      </c>
      <c r="H52" s="1" t="s">
        <v>47</v>
      </c>
      <c r="I52" s="2">
        <v>45383</v>
      </c>
      <c r="J52" s="3">
        <v>45449</v>
      </c>
      <c r="K52" s="1" t="s">
        <v>49</v>
      </c>
      <c r="L52" s="1" t="s">
        <v>24</v>
      </c>
      <c r="M52" s="1">
        <f t="shared" si="0"/>
        <v>66</v>
      </c>
      <c r="N52" s="1">
        <f t="shared" si="1"/>
        <v>0</v>
      </c>
      <c r="O52" s="8" t="str">
        <f t="shared" si="2"/>
        <v>26-35</v>
      </c>
    </row>
    <row r="53" spans="1:15" x14ac:dyDescent="0.3">
      <c r="A53">
        <v>1350</v>
      </c>
      <c r="B53" s="1" t="s">
        <v>71</v>
      </c>
      <c r="C53">
        <v>19</v>
      </c>
      <c r="D53" s="1" t="s">
        <v>13</v>
      </c>
      <c r="E53" s="1" t="s">
        <v>21</v>
      </c>
      <c r="F53" s="1" t="s">
        <v>96</v>
      </c>
      <c r="G53">
        <v>3</v>
      </c>
      <c r="H53" s="1" t="s">
        <v>16</v>
      </c>
      <c r="I53" s="2">
        <v>45401</v>
      </c>
      <c r="J53" s="3">
        <v>45384</v>
      </c>
      <c r="K53" s="1" t="s">
        <v>17</v>
      </c>
      <c r="L53" s="1" t="s">
        <v>18</v>
      </c>
      <c r="M53" s="1">
        <f t="shared" si="0"/>
        <v>-17</v>
      </c>
      <c r="N53" s="1">
        <f t="shared" si="1"/>
        <v>0</v>
      </c>
      <c r="O53" s="8" t="str">
        <f t="shared" si="2"/>
        <v>18-25</v>
      </c>
    </row>
    <row r="54" spans="1:15" x14ac:dyDescent="0.3">
      <c r="A54">
        <v>1411</v>
      </c>
      <c r="B54" s="1" t="s">
        <v>12</v>
      </c>
      <c r="C54">
        <v>18</v>
      </c>
      <c r="D54" s="1" t="s">
        <v>13</v>
      </c>
      <c r="E54" s="1" t="s">
        <v>37</v>
      </c>
      <c r="F54" s="1" t="s">
        <v>97</v>
      </c>
      <c r="G54">
        <v>1</v>
      </c>
      <c r="H54" s="1" t="s">
        <v>47</v>
      </c>
      <c r="I54" s="2">
        <v>45337</v>
      </c>
      <c r="J54" s="3">
        <v>45387</v>
      </c>
      <c r="K54" s="1" t="s">
        <v>28</v>
      </c>
      <c r="L54" s="1" t="s">
        <v>29</v>
      </c>
      <c r="M54" s="1">
        <f t="shared" si="0"/>
        <v>50</v>
      </c>
      <c r="N54" s="1">
        <f t="shared" si="1"/>
        <v>1</v>
      </c>
      <c r="O54" s="8" t="str">
        <f t="shared" si="2"/>
        <v>18-25</v>
      </c>
    </row>
    <row r="55" spans="1:15" x14ac:dyDescent="0.3">
      <c r="A55">
        <v>1290</v>
      </c>
      <c r="B55" s="1" t="s">
        <v>19</v>
      </c>
      <c r="C55">
        <v>39</v>
      </c>
      <c r="D55" s="1" t="s">
        <v>13</v>
      </c>
      <c r="E55" s="1" t="s">
        <v>21</v>
      </c>
      <c r="F55" s="1" t="s">
        <v>98</v>
      </c>
      <c r="G55">
        <v>1</v>
      </c>
      <c r="H55" s="1" t="s">
        <v>23</v>
      </c>
      <c r="I55" s="2">
        <v>45413</v>
      </c>
      <c r="J55" s="3">
        <v>45346</v>
      </c>
      <c r="K55" s="1" t="s">
        <v>28</v>
      </c>
      <c r="L55" s="1" t="s">
        <v>43</v>
      </c>
      <c r="M55" s="1">
        <f t="shared" si="0"/>
        <v>-67</v>
      </c>
      <c r="N55" s="1">
        <f t="shared" si="1"/>
        <v>1</v>
      </c>
      <c r="O55" s="8" t="str">
        <f t="shared" si="2"/>
        <v>36-50</v>
      </c>
    </row>
    <row r="56" spans="1:15" x14ac:dyDescent="0.3">
      <c r="A56">
        <v>1481</v>
      </c>
      <c r="B56" s="1" t="s">
        <v>53</v>
      </c>
      <c r="C56">
        <v>23</v>
      </c>
      <c r="D56" s="1" t="s">
        <v>13</v>
      </c>
      <c r="E56" s="1" t="s">
        <v>26</v>
      </c>
      <c r="F56" s="1" t="s">
        <v>99</v>
      </c>
      <c r="G56">
        <v>4</v>
      </c>
      <c r="H56" s="1" t="s">
        <v>16</v>
      </c>
      <c r="I56" s="2">
        <v>45450</v>
      </c>
      <c r="J56" s="3">
        <v>45299</v>
      </c>
      <c r="K56" s="1" t="s">
        <v>17</v>
      </c>
      <c r="L56" s="1" t="s">
        <v>36</v>
      </c>
      <c r="M56" s="1">
        <f t="shared" si="0"/>
        <v>-151</v>
      </c>
      <c r="N56" s="1">
        <f t="shared" si="1"/>
        <v>0</v>
      </c>
      <c r="O56" s="8" t="str">
        <f t="shared" si="2"/>
        <v>18-25</v>
      </c>
    </row>
    <row r="57" spans="1:15" x14ac:dyDescent="0.3">
      <c r="A57">
        <v>1076</v>
      </c>
      <c r="B57" s="1" t="s">
        <v>59</v>
      </c>
      <c r="C57">
        <v>40</v>
      </c>
      <c r="D57" s="1" t="s">
        <v>20</v>
      </c>
      <c r="E57" s="1" t="s">
        <v>37</v>
      </c>
      <c r="F57" s="1" t="s">
        <v>100</v>
      </c>
      <c r="G57">
        <v>2</v>
      </c>
      <c r="H57" s="1" t="s">
        <v>47</v>
      </c>
      <c r="I57" s="2">
        <v>45318</v>
      </c>
      <c r="J57" s="3">
        <v>45401</v>
      </c>
      <c r="K57" s="1" t="s">
        <v>28</v>
      </c>
      <c r="L57" s="1" t="s">
        <v>36</v>
      </c>
      <c r="M57" s="1">
        <f t="shared" si="0"/>
        <v>83</v>
      </c>
      <c r="N57" s="1">
        <f t="shared" si="1"/>
        <v>1</v>
      </c>
      <c r="O57" s="8" t="str">
        <f t="shared" si="2"/>
        <v>36-50</v>
      </c>
    </row>
    <row r="58" spans="1:15" x14ac:dyDescent="0.3">
      <c r="A58">
        <v>1168</v>
      </c>
      <c r="B58" s="1" t="s">
        <v>19</v>
      </c>
      <c r="C58">
        <v>20</v>
      </c>
      <c r="D58" s="1" t="s">
        <v>20</v>
      </c>
      <c r="E58" s="1" t="s">
        <v>26</v>
      </c>
      <c r="F58" s="1" t="s">
        <v>101</v>
      </c>
      <c r="G58">
        <v>1</v>
      </c>
      <c r="H58" s="1" t="s">
        <v>47</v>
      </c>
      <c r="I58" s="2">
        <v>45336</v>
      </c>
      <c r="J58" s="3">
        <v>45302</v>
      </c>
      <c r="K58" s="1" t="s">
        <v>17</v>
      </c>
      <c r="L58" s="1" t="s">
        <v>24</v>
      </c>
      <c r="M58" s="1">
        <f t="shared" si="0"/>
        <v>-34</v>
      </c>
      <c r="N58" s="1">
        <f t="shared" si="1"/>
        <v>0</v>
      </c>
      <c r="O58" s="8" t="str">
        <f t="shared" si="2"/>
        <v>18-25</v>
      </c>
    </row>
    <row r="59" spans="1:15" x14ac:dyDescent="0.3">
      <c r="A59">
        <v>1387</v>
      </c>
      <c r="B59" s="1" t="s">
        <v>32</v>
      </c>
      <c r="C59">
        <v>22</v>
      </c>
      <c r="D59" s="1" t="s">
        <v>13</v>
      </c>
      <c r="E59" s="1" t="s">
        <v>26</v>
      </c>
      <c r="F59" s="1" t="s">
        <v>102</v>
      </c>
      <c r="G59">
        <v>2</v>
      </c>
      <c r="H59" s="1" t="s">
        <v>23</v>
      </c>
      <c r="I59" s="2">
        <v>45455</v>
      </c>
      <c r="J59" s="3">
        <v>45297</v>
      </c>
      <c r="K59" s="1" t="s">
        <v>28</v>
      </c>
      <c r="L59" s="1" t="s">
        <v>36</v>
      </c>
      <c r="M59" s="1">
        <f t="shared" si="0"/>
        <v>-158</v>
      </c>
      <c r="N59" s="1">
        <f t="shared" si="1"/>
        <v>1</v>
      </c>
      <c r="O59" s="8" t="str">
        <f t="shared" si="2"/>
        <v>18-25</v>
      </c>
    </row>
    <row r="60" spans="1:15" x14ac:dyDescent="0.3">
      <c r="A60">
        <v>1106</v>
      </c>
      <c r="B60" s="1" t="s">
        <v>32</v>
      </c>
      <c r="C60">
        <v>40</v>
      </c>
      <c r="D60" s="1" t="s">
        <v>20</v>
      </c>
      <c r="E60" s="1" t="s">
        <v>37</v>
      </c>
      <c r="F60" s="1" t="s">
        <v>103</v>
      </c>
      <c r="G60">
        <v>5</v>
      </c>
      <c r="H60" s="1" t="s">
        <v>47</v>
      </c>
      <c r="I60" s="2">
        <v>45386</v>
      </c>
      <c r="J60" s="3">
        <v>45348</v>
      </c>
      <c r="K60" s="1" t="s">
        <v>17</v>
      </c>
      <c r="L60" s="1" t="s">
        <v>34</v>
      </c>
      <c r="M60" s="1">
        <f t="shared" si="0"/>
        <v>-38</v>
      </c>
      <c r="N60" s="1">
        <f t="shared" si="1"/>
        <v>0</v>
      </c>
      <c r="O60" s="8" t="str">
        <f t="shared" si="2"/>
        <v>36-50</v>
      </c>
    </row>
    <row r="61" spans="1:15" x14ac:dyDescent="0.3">
      <c r="A61">
        <v>1325</v>
      </c>
      <c r="B61" s="1" t="s">
        <v>32</v>
      </c>
      <c r="C61">
        <v>40</v>
      </c>
      <c r="D61" s="1" t="s">
        <v>13</v>
      </c>
      <c r="E61" s="1" t="s">
        <v>26</v>
      </c>
      <c r="F61" s="1" t="s">
        <v>104</v>
      </c>
      <c r="G61">
        <v>5</v>
      </c>
      <c r="H61" s="1" t="s">
        <v>16</v>
      </c>
      <c r="I61" s="2">
        <v>45429</v>
      </c>
      <c r="J61" s="3">
        <v>45365</v>
      </c>
      <c r="K61" s="1" t="s">
        <v>28</v>
      </c>
      <c r="L61" s="1" t="s">
        <v>36</v>
      </c>
      <c r="M61" s="1">
        <f t="shared" si="0"/>
        <v>-64</v>
      </c>
      <c r="N61" s="1">
        <f t="shared" si="1"/>
        <v>1</v>
      </c>
      <c r="O61" s="8" t="str">
        <f t="shared" si="2"/>
        <v>36-50</v>
      </c>
    </row>
    <row r="62" spans="1:15" x14ac:dyDescent="0.3">
      <c r="A62">
        <v>1064</v>
      </c>
      <c r="B62" s="1" t="s">
        <v>74</v>
      </c>
      <c r="C62">
        <v>22</v>
      </c>
      <c r="D62" s="1" t="s">
        <v>20</v>
      </c>
      <c r="E62" s="1" t="s">
        <v>21</v>
      </c>
      <c r="F62" s="1" t="s">
        <v>105</v>
      </c>
      <c r="G62">
        <v>3</v>
      </c>
      <c r="H62" s="1" t="s">
        <v>42</v>
      </c>
      <c r="I62" s="2">
        <v>45444</v>
      </c>
      <c r="J62" s="3">
        <v>45476</v>
      </c>
      <c r="K62" s="1" t="s">
        <v>28</v>
      </c>
      <c r="L62" s="1" t="s">
        <v>34</v>
      </c>
      <c r="M62" s="1">
        <f t="shared" si="0"/>
        <v>32</v>
      </c>
      <c r="N62" s="1">
        <f t="shared" si="1"/>
        <v>1</v>
      </c>
      <c r="O62" s="8" t="str">
        <f t="shared" si="2"/>
        <v>18-25</v>
      </c>
    </row>
    <row r="63" spans="1:15" x14ac:dyDescent="0.3">
      <c r="A63">
        <v>1331</v>
      </c>
      <c r="B63" s="1" t="s">
        <v>40</v>
      </c>
      <c r="C63">
        <v>25</v>
      </c>
      <c r="D63" s="1" t="s">
        <v>20</v>
      </c>
      <c r="E63" s="1" t="s">
        <v>37</v>
      </c>
      <c r="F63" s="1" t="s">
        <v>106</v>
      </c>
      <c r="G63">
        <v>3</v>
      </c>
      <c r="H63" s="1" t="s">
        <v>42</v>
      </c>
      <c r="I63" s="2">
        <v>45429</v>
      </c>
      <c r="J63" s="3">
        <v>45410</v>
      </c>
      <c r="K63" s="1" t="s">
        <v>28</v>
      </c>
      <c r="L63" s="1" t="s">
        <v>29</v>
      </c>
      <c r="M63" s="1">
        <f t="shared" si="0"/>
        <v>-19</v>
      </c>
      <c r="N63" s="1">
        <f t="shared" si="1"/>
        <v>1</v>
      </c>
      <c r="O63" s="8" t="str">
        <f t="shared" si="2"/>
        <v>18-25</v>
      </c>
    </row>
    <row r="64" spans="1:15" x14ac:dyDescent="0.3">
      <c r="A64">
        <v>1418</v>
      </c>
      <c r="B64" s="1" t="s">
        <v>57</v>
      </c>
      <c r="C64">
        <v>19</v>
      </c>
      <c r="D64" s="1" t="s">
        <v>13</v>
      </c>
      <c r="E64" s="1" t="s">
        <v>37</v>
      </c>
      <c r="F64" s="1" t="s">
        <v>107</v>
      </c>
      <c r="G64">
        <v>5</v>
      </c>
      <c r="H64" s="1" t="s">
        <v>23</v>
      </c>
      <c r="I64" s="2">
        <v>45427</v>
      </c>
      <c r="J64" s="3">
        <v>45402</v>
      </c>
      <c r="K64" s="1" t="s">
        <v>17</v>
      </c>
      <c r="L64" s="1" t="s">
        <v>29</v>
      </c>
      <c r="M64" s="1">
        <f t="shared" si="0"/>
        <v>-25</v>
      </c>
      <c r="N64" s="1">
        <f t="shared" si="1"/>
        <v>0</v>
      </c>
      <c r="O64" s="8" t="str">
        <f t="shared" si="2"/>
        <v>18-25</v>
      </c>
    </row>
    <row r="65" spans="1:15" x14ac:dyDescent="0.3">
      <c r="A65">
        <v>1314</v>
      </c>
      <c r="B65" s="1" t="s">
        <v>32</v>
      </c>
      <c r="C65">
        <v>19</v>
      </c>
      <c r="D65" s="1" t="s">
        <v>13</v>
      </c>
      <c r="E65" s="1" t="s">
        <v>21</v>
      </c>
      <c r="F65" s="1" t="s">
        <v>108</v>
      </c>
      <c r="G65">
        <v>5</v>
      </c>
      <c r="H65" s="1" t="s">
        <v>23</v>
      </c>
      <c r="I65" s="2">
        <v>45377</v>
      </c>
      <c r="J65" s="3">
        <v>45298</v>
      </c>
      <c r="K65" s="1" t="s">
        <v>28</v>
      </c>
      <c r="L65" s="1" t="s">
        <v>29</v>
      </c>
      <c r="M65" s="1">
        <f t="shared" si="0"/>
        <v>-79</v>
      </c>
      <c r="N65" s="1">
        <f t="shared" si="1"/>
        <v>1</v>
      </c>
      <c r="O65" s="8" t="str">
        <f t="shared" si="2"/>
        <v>18-25</v>
      </c>
    </row>
    <row r="66" spans="1:15" x14ac:dyDescent="0.3">
      <c r="A66">
        <v>1394</v>
      </c>
      <c r="B66" s="1" t="s">
        <v>74</v>
      </c>
      <c r="C66">
        <v>18</v>
      </c>
      <c r="D66" s="1" t="s">
        <v>20</v>
      </c>
      <c r="E66" s="1" t="s">
        <v>37</v>
      </c>
      <c r="F66" s="1" t="s">
        <v>109</v>
      </c>
      <c r="G66">
        <v>4</v>
      </c>
      <c r="H66" s="1" t="s">
        <v>23</v>
      </c>
      <c r="I66" s="2">
        <v>45628</v>
      </c>
      <c r="J66" s="3">
        <v>45300</v>
      </c>
      <c r="K66" s="1" t="s">
        <v>28</v>
      </c>
      <c r="L66" s="1" t="s">
        <v>29</v>
      </c>
      <c r="M66" s="1">
        <f t="shared" ref="M66:M129" si="3">J66-I66</f>
        <v>-328</v>
      </c>
      <c r="N66" s="1">
        <f t="shared" ref="N66:N129" si="4">IF(K66="Active",1,0)</f>
        <v>1</v>
      </c>
      <c r="O66" s="8" t="str">
        <f t="shared" ref="O66:O129" si="5">IF(AND(C66&gt;=18,C66&lt;=25),"18-25",
IF(AND(C66&gt;=26,C66&lt;=35),"26-35",
IF(AND(C66&gt;=36,C66&lt;=50),"36-50",
IF(C66&gt;=51,"51+",""))))</f>
        <v>18-25</v>
      </c>
    </row>
    <row r="67" spans="1:15" x14ac:dyDescent="0.3">
      <c r="A67">
        <v>1278</v>
      </c>
      <c r="B67" s="1" t="s">
        <v>40</v>
      </c>
      <c r="C67">
        <v>19</v>
      </c>
      <c r="D67" s="1" t="s">
        <v>13</v>
      </c>
      <c r="E67" s="1" t="s">
        <v>26</v>
      </c>
      <c r="F67" s="1" t="s">
        <v>110</v>
      </c>
      <c r="G67">
        <v>5</v>
      </c>
      <c r="H67" s="1" t="s">
        <v>16</v>
      </c>
      <c r="I67" s="2">
        <v>45354</v>
      </c>
      <c r="J67" s="3">
        <v>45330</v>
      </c>
      <c r="K67" s="1" t="s">
        <v>49</v>
      </c>
      <c r="L67" s="1" t="s">
        <v>34</v>
      </c>
      <c r="M67" s="1">
        <f t="shared" si="3"/>
        <v>-24</v>
      </c>
      <c r="N67" s="1">
        <f t="shared" si="4"/>
        <v>0</v>
      </c>
      <c r="O67" s="8" t="str">
        <f t="shared" si="5"/>
        <v>18-25</v>
      </c>
    </row>
    <row r="68" spans="1:15" x14ac:dyDescent="0.3">
      <c r="A68">
        <v>1205</v>
      </c>
      <c r="B68" s="1" t="s">
        <v>71</v>
      </c>
      <c r="C68">
        <v>22</v>
      </c>
      <c r="D68" s="1" t="s">
        <v>13</v>
      </c>
      <c r="E68" s="1" t="s">
        <v>37</v>
      </c>
      <c r="F68" s="1" t="s">
        <v>111</v>
      </c>
      <c r="G68">
        <v>5</v>
      </c>
      <c r="H68" s="1" t="s">
        <v>16</v>
      </c>
      <c r="I68" s="2">
        <v>45372</v>
      </c>
      <c r="J68" s="3">
        <v>45339</v>
      </c>
      <c r="K68" s="1" t="s">
        <v>28</v>
      </c>
      <c r="L68" s="1" t="s">
        <v>36</v>
      </c>
      <c r="M68" s="1">
        <f t="shared" si="3"/>
        <v>-33</v>
      </c>
      <c r="N68" s="1">
        <f t="shared" si="4"/>
        <v>1</v>
      </c>
      <c r="O68" s="8" t="str">
        <f t="shared" si="5"/>
        <v>18-25</v>
      </c>
    </row>
    <row r="69" spans="1:15" x14ac:dyDescent="0.3">
      <c r="A69">
        <v>1146</v>
      </c>
      <c r="B69" s="1" t="s">
        <v>57</v>
      </c>
      <c r="C69">
        <v>25</v>
      </c>
      <c r="D69" s="1" t="s">
        <v>13</v>
      </c>
      <c r="E69" s="1" t="s">
        <v>37</v>
      </c>
      <c r="F69" s="1" t="s">
        <v>112</v>
      </c>
      <c r="G69">
        <v>1</v>
      </c>
      <c r="H69" s="1" t="s">
        <v>42</v>
      </c>
      <c r="I69" s="2">
        <v>45448</v>
      </c>
      <c r="J69" s="3">
        <v>45383</v>
      </c>
      <c r="K69" s="1" t="s">
        <v>31</v>
      </c>
      <c r="L69" s="1" t="s">
        <v>56</v>
      </c>
      <c r="M69" s="1">
        <f t="shared" si="3"/>
        <v>-65</v>
      </c>
      <c r="N69" s="1">
        <f t="shared" si="4"/>
        <v>0</v>
      </c>
      <c r="O69" s="8" t="str">
        <f t="shared" si="5"/>
        <v>18-25</v>
      </c>
    </row>
    <row r="70" spans="1:15" x14ac:dyDescent="0.3">
      <c r="A70">
        <v>1484</v>
      </c>
      <c r="B70" s="1" t="s">
        <v>53</v>
      </c>
      <c r="C70">
        <v>20</v>
      </c>
      <c r="D70" s="1" t="s">
        <v>13</v>
      </c>
      <c r="E70" s="1" t="s">
        <v>21</v>
      </c>
      <c r="F70" s="1" t="s">
        <v>113</v>
      </c>
      <c r="G70">
        <v>5</v>
      </c>
      <c r="H70" s="1" t="s">
        <v>16</v>
      </c>
      <c r="I70" s="2">
        <v>45376</v>
      </c>
      <c r="J70" s="3">
        <v>45444</v>
      </c>
      <c r="K70" s="1" t="s">
        <v>49</v>
      </c>
      <c r="L70" s="1" t="s">
        <v>56</v>
      </c>
      <c r="M70" s="1">
        <f t="shared" si="3"/>
        <v>68</v>
      </c>
      <c r="N70" s="1">
        <f t="shared" si="4"/>
        <v>0</v>
      </c>
      <c r="O70" s="8" t="str">
        <f t="shared" si="5"/>
        <v>18-25</v>
      </c>
    </row>
    <row r="71" spans="1:15" x14ac:dyDescent="0.3">
      <c r="A71">
        <v>1271</v>
      </c>
      <c r="B71" s="1" t="s">
        <v>19</v>
      </c>
      <c r="C71">
        <v>39</v>
      </c>
      <c r="D71" s="1" t="s">
        <v>13</v>
      </c>
      <c r="E71" s="1" t="s">
        <v>37</v>
      </c>
      <c r="F71" s="1" t="s">
        <v>114</v>
      </c>
      <c r="G71">
        <v>5</v>
      </c>
      <c r="H71" s="1" t="s">
        <v>23</v>
      </c>
      <c r="I71" s="2">
        <v>45295</v>
      </c>
      <c r="J71" s="3">
        <v>45301</v>
      </c>
      <c r="K71" s="1" t="s">
        <v>28</v>
      </c>
      <c r="L71" s="1" t="s">
        <v>56</v>
      </c>
      <c r="M71" s="1">
        <f t="shared" si="3"/>
        <v>6</v>
      </c>
      <c r="N71" s="1">
        <f t="shared" si="4"/>
        <v>1</v>
      </c>
      <c r="O71" s="8" t="str">
        <f t="shared" si="5"/>
        <v>36-50</v>
      </c>
    </row>
    <row r="72" spans="1:15" x14ac:dyDescent="0.3">
      <c r="A72">
        <v>1491</v>
      </c>
      <c r="B72" s="1" t="s">
        <v>19</v>
      </c>
      <c r="C72">
        <v>30</v>
      </c>
      <c r="D72" s="1" t="s">
        <v>20</v>
      </c>
      <c r="E72" s="1" t="s">
        <v>21</v>
      </c>
      <c r="F72" s="1" t="s">
        <v>115</v>
      </c>
      <c r="G72">
        <v>4</v>
      </c>
      <c r="H72" s="1" t="s">
        <v>23</v>
      </c>
      <c r="I72" s="2">
        <v>45414</v>
      </c>
      <c r="J72" s="3">
        <v>45325</v>
      </c>
      <c r="K72" s="1" t="s">
        <v>28</v>
      </c>
      <c r="L72" s="1" t="s">
        <v>29</v>
      </c>
      <c r="M72" s="1">
        <f t="shared" si="3"/>
        <v>-89</v>
      </c>
      <c r="N72" s="1">
        <f t="shared" si="4"/>
        <v>1</v>
      </c>
      <c r="O72" s="8" t="str">
        <f t="shared" si="5"/>
        <v>26-35</v>
      </c>
    </row>
    <row r="73" spans="1:15" x14ac:dyDescent="0.3">
      <c r="A73">
        <v>1411</v>
      </c>
      <c r="B73" s="1" t="s">
        <v>19</v>
      </c>
      <c r="C73">
        <v>30</v>
      </c>
      <c r="D73" s="1" t="s">
        <v>13</v>
      </c>
      <c r="E73" s="1" t="s">
        <v>21</v>
      </c>
      <c r="F73" s="1" t="s">
        <v>116</v>
      </c>
      <c r="G73">
        <v>1</v>
      </c>
      <c r="H73" s="1" t="s">
        <v>47</v>
      </c>
      <c r="I73" s="2">
        <v>45417</v>
      </c>
      <c r="J73" s="3">
        <v>45340</v>
      </c>
      <c r="K73" s="1" t="s">
        <v>28</v>
      </c>
      <c r="L73" s="1" t="s">
        <v>36</v>
      </c>
      <c r="M73" s="1">
        <f t="shared" si="3"/>
        <v>-77</v>
      </c>
      <c r="N73" s="1">
        <f t="shared" si="4"/>
        <v>1</v>
      </c>
      <c r="O73" s="8" t="str">
        <f t="shared" si="5"/>
        <v>26-35</v>
      </c>
    </row>
    <row r="74" spans="1:15" x14ac:dyDescent="0.3">
      <c r="A74">
        <v>1253</v>
      </c>
      <c r="B74" s="1" t="s">
        <v>64</v>
      </c>
      <c r="C74">
        <v>22</v>
      </c>
      <c r="D74" s="1" t="s">
        <v>13</v>
      </c>
      <c r="E74" s="1" t="s">
        <v>37</v>
      </c>
      <c r="F74" s="1" t="s">
        <v>117</v>
      </c>
      <c r="G74">
        <v>3</v>
      </c>
      <c r="H74" s="1" t="s">
        <v>23</v>
      </c>
      <c r="I74" s="2">
        <v>45332</v>
      </c>
      <c r="J74" s="3">
        <v>45294</v>
      </c>
      <c r="K74" s="1" t="s">
        <v>31</v>
      </c>
      <c r="L74" s="1" t="s">
        <v>51</v>
      </c>
      <c r="M74" s="1">
        <f t="shared" si="3"/>
        <v>-38</v>
      </c>
      <c r="N74" s="1">
        <f t="shared" si="4"/>
        <v>0</v>
      </c>
      <c r="O74" s="8" t="str">
        <f t="shared" si="5"/>
        <v>18-25</v>
      </c>
    </row>
    <row r="75" spans="1:15" x14ac:dyDescent="0.3">
      <c r="A75">
        <v>1492</v>
      </c>
      <c r="B75" s="1" t="s">
        <v>12</v>
      </c>
      <c r="C75">
        <v>19</v>
      </c>
      <c r="D75" s="1" t="s">
        <v>13</v>
      </c>
      <c r="E75" s="1" t="s">
        <v>14</v>
      </c>
      <c r="F75" s="1" t="s">
        <v>118</v>
      </c>
      <c r="G75">
        <v>5</v>
      </c>
      <c r="H75" s="1" t="s">
        <v>47</v>
      </c>
      <c r="I75" s="2">
        <v>45310</v>
      </c>
      <c r="J75" s="3">
        <v>45332</v>
      </c>
      <c r="K75" s="1" t="s">
        <v>17</v>
      </c>
      <c r="L75" s="1" t="s">
        <v>18</v>
      </c>
      <c r="M75" s="1">
        <f t="shared" si="3"/>
        <v>22</v>
      </c>
      <c r="N75" s="1">
        <f t="shared" si="4"/>
        <v>0</v>
      </c>
      <c r="O75" s="8" t="str">
        <f t="shared" si="5"/>
        <v>18-25</v>
      </c>
    </row>
    <row r="76" spans="1:15" x14ac:dyDescent="0.3">
      <c r="A76">
        <v>1158</v>
      </c>
      <c r="B76" s="1" t="s">
        <v>40</v>
      </c>
      <c r="C76">
        <v>40</v>
      </c>
      <c r="D76" s="1" t="s">
        <v>13</v>
      </c>
      <c r="E76" s="1" t="s">
        <v>14</v>
      </c>
      <c r="F76" s="1" t="s">
        <v>119</v>
      </c>
      <c r="G76">
        <v>1</v>
      </c>
      <c r="H76" s="1" t="s">
        <v>16</v>
      </c>
      <c r="I76" s="2">
        <v>45379</v>
      </c>
      <c r="J76" s="3">
        <v>45471</v>
      </c>
      <c r="K76" s="1" t="s">
        <v>28</v>
      </c>
      <c r="L76" s="1" t="s">
        <v>34</v>
      </c>
      <c r="M76" s="1">
        <f t="shared" si="3"/>
        <v>92</v>
      </c>
      <c r="N76" s="1">
        <f t="shared" si="4"/>
        <v>1</v>
      </c>
      <c r="O76" s="8" t="str">
        <f t="shared" si="5"/>
        <v>36-50</v>
      </c>
    </row>
    <row r="77" spans="1:15" x14ac:dyDescent="0.3">
      <c r="A77">
        <v>1180</v>
      </c>
      <c r="B77" s="1" t="s">
        <v>19</v>
      </c>
      <c r="C77">
        <v>22</v>
      </c>
      <c r="D77" s="1" t="s">
        <v>13</v>
      </c>
      <c r="E77" s="1" t="s">
        <v>21</v>
      </c>
      <c r="F77" s="1" t="s">
        <v>120</v>
      </c>
      <c r="G77">
        <v>4</v>
      </c>
      <c r="H77" s="1" t="s">
        <v>42</v>
      </c>
      <c r="I77" s="2">
        <v>45387</v>
      </c>
      <c r="J77" s="3">
        <v>45418</v>
      </c>
      <c r="K77" s="1" t="s">
        <v>28</v>
      </c>
      <c r="L77" s="1" t="s">
        <v>56</v>
      </c>
      <c r="M77" s="1">
        <f t="shared" si="3"/>
        <v>31</v>
      </c>
      <c r="N77" s="1">
        <f t="shared" si="4"/>
        <v>1</v>
      </c>
      <c r="O77" s="8" t="str">
        <f t="shared" si="5"/>
        <v>18-25</v>
      </c>
    </row>
    <row r="78" spans="1:15" x14ac:dyDescent="0.3">
      <c r="A78">
        <v>1070</v>
      </c>
      <c r="B78" s="1" t="s">
        <v>53</v>
      </c>
      <c r="C78">
        <v>22</v>
      </c>
      <c r="D78" s="1" t="s">
        <v>20</v>
      </c>
      <c r="E78" s="1" t="s">
        <v>14</v>
      </c>
      <c r="F78" s="1" t="s">
        <v>121</v>
      </c>
      <c r="G78">
        <v>5</v>
      </c>
      <c r="H78" s="1" t="s">
        <v>16</v>
      </c>
      <c r="I78" s="2">
        <v>45304</v>
      </c>
      <c r="J78" s="3">
        <v>45477</v>
      </c>
      <c r="K78" s="1" t="s">
        <v>28</v>
      </c>
      <c r="L78" s="1" t="s">
        <v>36</v>
      </c>
      <c r="M78" s="1">
        <f t="shared" si="3"/>
        <v>173</v>
      </c>
      <c r="N78" s="1">
        <f t="shared" si="4"/>
        <v>1</v>
      </c>
      <c r="O78" s="8" t="str">
        <f t="shared" si="5"/>
        <v>18-25</v>
      </c>
    </row>
    <row r="79" spans="1:15" x14ac:dyDescent="0.3">
      <c r="A79">
        <v>1365</v>
      </c>
      <c r="B79" s="1" t="s">
        <v>19</v>
      </c>
      <c r="C79">
        <v>24</v>
      </c>
      <c r="D79" s="1" t="s">
        <v>20</v>
      </c>
      <c r="E79" s="1" t="s">
        <v>26</v>
      </c>
      <c r="F79" s="1" t="s">
        <v>122</v>
      </c>
      <c r="G79">
        <v>1</v>
      </c>
      <c r="H79" s="1" t="s">
        <v>47</v>
      </c>
      <c r="I79" s="2">
        <v>45445</v>
      </c>
      <c r="J79" s="3">
        <v>45374</v>
      </c>
      <c r="K79" s="1" t="s">
        <v>49</v>
      </c>
      <c r="L79" s="1" t="s">
        <v>29</v>
      </c>
      <c r="M79" s="1">
        <f t="shared" si="3"/>
        <v>-71</v>
      </c>
      <c r="N79" s="1">
        <f t="shared" si="4"/>
        <v>0</v>
      </c>
      <c r="O79" s="8" t="str">
        <f t="shared" si="5"/>
        <v>18-25</v>
      </c>
    </row>
    <row r="80" spans="1:15" x14ac:dyDescent="0.3">
      <c r="A80">
        <v>1371</v>
      </c>
      <c r="B80" s="1" t="s">
        <v>71</v>
      </c>
      <c r="C80">
        <v>20</v>
      </c>
      <c r="D80" s="1" t="s">
        <v>20</v>
      </c>
      <c r="E80" s="1" t="s">
        <v>37</v>
      </c>
      <c r="F80" s="1" t="s">
        <v>123</v>
      </c>
      <c r="G80">
        <v>2</v>
      </c>
      <c r="H80" s="1" t="s">
        <v>42</v>
      </c>
      <c r="I80" s="2">
        <v>45373</v>
      </c>
      <c r="J80" s="3">
        <v>45465</v>
      </c>
      <c r="K80" s="1" t="s">
        <v>28</v>
      </c>
      <c r="L80" s="1" t="s">
        <v>56</v>
      </c>
      <c r="M80" s="1">
        <f t="shared" si="3"/>
        <v>92</v>
      </c>
      <c r="N80" s="1">
        <f t="shared" si="4"/>
        <v>1</v>
      </c>
      <c r="O80" s="8" t="str">
        <f t="shared" si="5"/>
        <v>18-25</v>
      </c>
    </row>
    <row r="81" spans="1:15" x14ac:dyDescent="0.3">
      <c r="A81">
        <v>1154</v>
      </c>
      <c r="B81" s="1" t="s">
        <v>64</v>
      </c>
      <c r="C81">
        <v>25</v>
      </c>
      <c r="D81" s="1" t="s">
        <v>20</v>
      </c>
      <c r="E81" s="1" t="s">
        <v>14</v>
      </c>
      <c r="F81" s="1" t="s">
        <v>124</v>
      </c>
      <c r="G81">
        <v>2</v>
      </c>
      <c r="H81" s="1" t="s">
        <v>47</v>
      </c>
      <c r="I81" s="2">
        <v>45364</v>
      </c>
      <c r="J81" s="3">
        <v>45470</v>
      </c>
      <c r="K81" s="1" t="s">
        <v>28</v>
      </c>
      <c r="L81" s="1" t="s">
        <v>18</v>
      </c>
      <c r="M81" s="1">
        <f t="shared" si="3"/>
        <v>106</v>
      </c>
      <c r="N81" s="1">
        <f t="shared" si="4"/>
        <v>1</v>
      </c>
      <c r="O81" s="8" t="str">
        <f t="shared" si="5"/>
        <v>18-25</v>
      </c>
    </row>
    <row r="82" spans="1:15" x14ac:dyDescent="0.3">
      <c r="A82">
        <v>1208</v>
      </c>
      <c r="B82" s="1" t="s">
        <v>32</v>
      </c>
      <c r="C82">
        <v>25</v>
      </c>
      <c r="D82" s="1" t="s">
        <v>13</v>
      </c>
      <c r="E82" s="1" t="s">
        <v>37</v>
      </c>
      <c r="F82" s="1" t="s">
        <v>125</v>
      </c>
      <c r="G82">
        <v>1</v>
      </c>
      <c r="H82" s="1" t="s">
        <v>23</v>
      </c>
      <c r="I82" s="2">
        <v>45342</v>
      </c>
      <c r="J82" s="3">
        <v>45369</v>
      </c>
      <c r="K82" s="1" t="s">
        <v>28</v>
      </c>
      <c r="L82" s="1" t="s">
        <v>56</v>
      </c>
      <c r="M82" s="1">
        <f t="shared" si="3"/>
        <v>27</v>
      </c>
      <c r="N82" s="1">
        <f t="shared" si="4"/>
        <v>1</v>
      </c>
      <c r="O82" s="8" t="str">
        <f t="shared" si="5"/>
        <v>18-25</v>
      </c>
    </row>
    <row r="83" spans="1:15" x14ac:dyDescent="0.3">
      <c r="A83">
        <v>1390</v>
      </c>
      <c r="B83" s="1" t="s">
        <v>32</v>
      </c>
      <c r="C83">
        <v>25</v>
      </c>
      <c r="D83" s="1" t="s">
        <v>20</v>
      </c>
      <c r="E83" s="1" t="s">
        <v>37</v>
      </c>
      <c r="F83" s="1" t="s">
        <v>126</v>
      </c>
      <c r="G83">
        <v>5</v>
      </c>
      <c r="H83" s="1" t="s">
        <v>47</v>
      </c>
      <c r="I83" s="2">
        <v>45357</v>
      </c>
      <c r="J83" s="3">
        <v>45319</v>
      </c>
      <c r="K83" s="1" t="s">
        <v>28</v>
      </c>
      <c r="L83" s="1" t="s">
        <v>36</v>
      </c>
      <c r="M83" s="1">
        <f t="shared" si="3"/>
        <v>-38</v>
      </c>
      <c r="N83" s="1">
        <f t="shared" si="4"/>
        <v>1</v>
      </c>
      <c r="O83" s="8" t="str">
        <f t="shared" si="5"/>
        <v>18-25</v>
      </c>
    </row>
    <row r="84" spans="1:15" x14ac:dyDescent="0.3">
      <c r="A84">
        <v>1270</v>
      </c>
      <c r="B84" s="1" t="s">
        <v>74</v>
      </c>
      <c r="C84">
        <v>22</v>
      </c>
      <c r="D84" s="1" t="s">
        <v>20</v>
      </c>
      <c r="E84" s="1" t="s">
        <v>21</v>
      </c>
      <c r="F84" s="1" t="s">
        <v>127</v>
      </c>
      <c r="G84">
        <v>5</v>
      </c>
      <c r="H84" s="1" t="s">
        <v>23</v>
      </c>
      <c r="I84" s="2">
        <v>45319</v>
      </c>
      <c r="J84" s="3">
        <v>45421</v>
      </c>
      <c r="K84" s="1" t="s">
        <v>28</v>
      </c>
      <c r="L84" s="1" t="s">
        <v>24</v>
      </c>
      <c r="M84" s="1">
        <f t="shared" si="3"/>
        <v>102</v>
      </c>
      <c r="N84" s="1">
        <f t="shared" si="4"/>
        <v>1</v>
      </c>
      <c r="O84" s="8" t="str">
        <f t="shared" si="5"/>
        <v>18-25</v>
      </c>
    </row>
    <row r="85" spans="1:15" x14ac:dyDescent="0.3">
      <c r="A85">
        <v>1255</v>
      </c>
      <c r="B85" s="1" t="s">
        <v>40</v>
      </c>
      <c r="C85">
        <v>26</v>
      </c>
      <c r="D85" s="1" t="s">
        <v>20</v>
      </c>
      <c r="E85" s="1" t="s">
        <v>26</v>
      </c>
      <c r="F85" s="1" t="s">
        <v>128</v>
      </c>
      <c r="G85">
        <v>1</v>
      </c>
      <c r="H85" s="1" t="s">
        <v>47</v>
      </c>
      <c r="I85" s="2">
        <v>45466</v>
      </c>
      <c r="J85" s="3">
        <v>45467</v>
      </c>
      <c r="K85" s="1" t="s">
        <v>17</v>
      </c>
      <c r="L85" s="1" t="s">
        <v>34</v>
      </c>
      <c r="M85" s="1">
        <f t="shared" si="3"/>
        <v>1</v>
      </c>
      <c r="N85" s="1">
        <f t="shared" si="4"/>
        <v>0</v>
      </c>
      <c r="O85" s="8" t="str">
        <f t="shared" si="5"/>
        <v>26-35</v>
      </c>
    </row>
    <row r="86" spans="1:15" x14ac:dyDescent="0.3">
      <c r="A86">
        <v>1244</v>
      </c>
      <c r="B86" s="1" t="s">
        <v>19</v>
      </c>
      <c r="C86">
        <v>25</v>
      </c>
      <c r="D86" s="1" t="s">
        <v>13</v>
      </c>
      <c r="E86" s="1" t="s">
        <v>14</v>
      </c>
      <c r="F86" s="1" t="s">
        <v>129</v>
      </c>
      <c r="G86">
        <v>4</v>
      </c>
      <c r="H86" s="1" t="s">
        <v>23</v>
      </c>
      <c r="I86" s="2">
        <v>45359</v>
      </c>
      <c r="J86" s="3">
        <v>45415</v>
      </c>
      <c r="K86" s="1" t="s">
        <v>49</v>
      </c>
      <c r="L86" s="1" t="s">
        <v>34</v>
      </c>
      <c r="M86" s="1">
        <f t="shared" si="3"/>
        <v>56</v>
      </c>
      <c r="N86" s="1">
        <f t="shared" si="4"/>
        <v>0</v>
      </c>
      <c r="O86" s="8" t="str">
        <f t="shared" si="5"/>
        <v>18-25</v>
      </c>
    </row>
    <row r="87" spans="1:15" x14ac:dyDescent="0.3">
      <c r="A87">
        <v>1359</v>
      </c>
      <c r="B87" s="1" t="s">
        <v>53</v>
      </c>
      <c r="C87">
        <v>19</v>
      </c>
      <c r="D87" s="1" t="s">
        <v>20</v>
      </c>
      <c r="E87" s="1" t="s">
        <v>21</v>
      </c>
      <c r="F87" s="1" t="s">
        <v>130</v>
      </c>
      <c r="G87">
        <v>3</v>
      </c>
      <c r="H87" s="1" t="s">
        <v>23</v>
      </c>
      <c r="I87" s="2">
        <v>45362</v>
      </c>
      <c r="J87" s="3">
        <v>45341</v>
      </c>
      <c r="K87" s="1" t="s">
        <v>17</v>
      </c>
      <c r="L87" s="1" t="s">
        <v>29</v>
      </c>
      <c r="M87" s="1">
        <f t="shared" si="3"/>
        <v>-21</v>
      </c>
      <c r="N87" s="1">
        <f t="shared" si="4"/>
        <v>0</v>
      </c>
      <c r="O87" s="8" t="str">
        <f t="shared" si="5"/>
        <v>18-25</v>
      </c>
    </row>
    <row r="88" spans="1:15" x14ac:dyDescent="0.3">
      <c r="A88">
        <v>1459</v>
      </c>
      <c r="B88" s="1" t="s">
        <v>40</v>
      </c>
      <c r="C88">
        <v>22</v>
      </c>
      <c r="D88" s="1" t="s">
        <v>20</v>
      </c>
      <c r="E88" s="1" t="s">
        <v>26</v>
      </c>
      <c r="F88" s="1" t="s">
        <v>131</v>
      </c>
      <c r="G88">
        <v>1</v>
      </c>
      <c r="H88" s="1" t="s">
        <v>23</v>
      </c>
      <c r="I88" s="2">
        <v>45328</v>
      </c>
      <c r="J88" s="3">
        <v>45333</v>
      </c>
      <c r="K88" s="1" t="s">
        <v>17</v>
      </c>
      <c r="L88" s="1" t="s">
        <v>56</v>
      </c>
      <c r="M88" s="1">
        <f t="shared" si="3"/>
        <v>5</v>
      </c>
      <c r="N88" s="1">
        <f t="shared" si="4"/>
        <v>0</v>
      </c>
      <c r="O88" s="8" t="str">
        <f t="shared" si="5"/>
        <v>18-25</v>
      </c>
    </row>
    <row r="89" spans="1:15" x14ac:dyDescent="0.3">
      <c r="A89">
        <v>1438</v>
      </c>
      <c r="B89" s="1" t="s">
        <v>40</v>
      </c>
      <c r="C89">
        <v>18</v>
      </c>
      <c r="D89" s="1" t="s">
        <v>13</v>
      </c>
      <c r="E89" s="1" t="s">
        <v>21</v>
      </c>
      <c r="F89" s="1" t="s">
        <v>132</v>
      </c>
      <c r="G89">
        <v>5</v>
      </c>
      <c r="H89" s="1" t="s">
        <v>47</v>
      </c>
      <c r="I89" s="2">
        <v>45339</v>
      </c>
      <c r="J89" s="3">
        <v>45428</v>
      </c>
      <c r="K89" s="1" t="s">
        <v>28</v>
      </c>
      <c r="L89" s="1" t="s">
        <v>51</v>
      </c>
      <c r="M89" s="1">
        <f t="shared" si="3"/>
        <v>89</v>
      </c>
      <c r="N89" s="1">
        <f t="shared" si="4"/>
        <v>1</v>
      </c>
      <c r="O89" s="8" t="str">
        <f t="shared" si="5"/>
        <v>18-25</v>
      </c>
    </row>
    <row r="90" spans="1:15" x14ac:dyDescent="0.3">
      <c r="A90">
        <v>1455</v>
      </c>
      <c r="B90" s="1" t="s">
        <v>40</v>
      </c>
      <c r="C90">
        <v>25</v>
      </c>
      <c r="D90" s="1" t="s">
        <v>13</v>
      </c>
      <c r="E90" s="1" t="s">
        <v>26</v>
      </c>
      <c r="F90" s="1" t="s">
        <v>133</v>
      </c>
      <c r="G90">
        <v>1</v>
      </c>
      <c r="H90" s="1" t="s">
        <v>23</v>
      </c>
      <c r="I90" s="2">
        <v>45399</v>
      </c>
      <c r="J90" s="3">
        <v>45348</v>
      </c>
      <c r="K90" s="1" t="s">
        <v>17</v>
      </c>
      <c r="L90" s="1" t="s">
        <v>29</v>
      </c>
      <c r="M90" s="1">
        <f t="shared" si="3"/>
        <v>-51</v>
      </c>
      <c r="N90" s="1">
        <f t="shared" si="4"/>
        <v>0</v>
      </c>
      <c r="O90" s="8" t="str">
        <f t="shared" si="5"/>
        <v>18-25</v>
      </c>
    </row>
    <row r="91" spans="1:15" x14ac:dyDescent="0.3">
      <c r="A91">
        <v>1129</v>
      </c>
      <c r="B91" s="1" t="s">
        <v>53</v>
      </c>
      <c r="C91">
        <v>30</v>
      </c>
      <c r="D91" s="1" t="s">
        <v>20</v>
      </c>
      <c r="E91" s="1" t="s">
        <v>26</v>
      </c>
      <c r="F91" s="1" t="s">
        <v>134</v>
      </c>
      <c r="G91">
        <v>1</v>
      </c>
      <c r="H91" s="1" t="s">
        <v>42</v>
      </c>
      <c r="I91" s="2">
        <v>45406</v>
      </c>
      <c r="J91" s="3">
        <v>45439</v>
      </c>
      <c r="K91" s="1" t="s">
        <v>28</v>
      </c>
      <c r="L91" s="1" t="s">
        <v>36</v>
      </c>
      <c r="M91" s="1">
        <f t="shared" si="3"/>
        <v>33</v>
      </c>
      <c r="N91" s="1">
        <f t="shared" si="4"/>
        <v>1</v>
      </c>
      <c r="O91" s="8" t="str">
        <f t="shared" si="5"/>
        <v>26-35</v>
      </c>
    </row>
    <row r="92" spans="1:15" x14ac:dyDescent="0.3">
      <c r="A92">
        <v>1043</v>
      </c>
      <c r="B92" s="1" t="s">
        <v>59</v>
      </c>
      <c r="C92">
        <v>26</v>
      </c>
      <c r="D92" s="1" t="s">
        <v>20</v>
      </c>
      <c r="E92" s="1" t="s">
        <v>37</v>
      </c>
      <c r="F92" s="1" t="s">
        <v>135</v>
      </c>
      <c r="G92">
        <v>4</v>
      </c>
      <c r="H92" s="1" t="s">
        <v>47</v>
      </c>
      <c r="I92" s="2">
        <v>45445</v>
      </c>
      <c r="J92" s="3">
        <v>45364</v>
      </c>
      <c r="K92" s="1" t="s">
        <v>28</v>
      </c>
      <c r="L92" s="1" t="s">
        <v>51</v>
      </c>
      <c r="M92" s="1">
        <f t="shared" si="3"/>
        <v>-81</v>
      </c>
      <c r="N92" s="1">
        <f t="shared" si="4"/>
        <v>1</v>
      </c>
      <c r="O92" s="8" t="str">
        <f t="shared" si="5"/>
        <v>26-35</v>
      </c>
    </row>
    <row r="93" spans="1:15" x14ac:dyDescent="0.3">
      <c r="A93">
        <v>1186</v>
      </c>
      <c r="B93" s="1" t="s">
        <v>59</v>
      </c>
      <c r="C93">
        <v>26</v>
      </c>
      <c r="D93" s="1" t="s">
        <v>20</v>
      </c>
      <c r="E93" s="1" t="s">
        <v>14</v>
      </c>
      <c r="F93" s="1" t="s">
        <v>136</v>
      </c>
      <c r="G93">
        <v>2</v>
      </c>
      <c r="H93" s="1" t="s">
        <v>42</v>
      </c>
      <c r="I93" s="2">
        <v>45332</v>
      </c>
      <c r="J93" s="3">
        <v>45337</v>
      </c>
      <c r="K93" s="1" t="s">
        <v>17</v>
      </c>
      <c r="L93" s="1" t="s">
        <v>43</v>
      </c>
      <c r="M93" s="1">
        <f t="shared" si="3"/>
        <v>5</v>
      </c>
      <c r="N93" s="1">
        <f t="shared" si="4"/>
        <v>0</v>
      </c>
      <c r="O93" s="8" t="str">
        <f t="shared" si="5"/>
        <v>26-35</v>
      </c>
    </row>
    <row r="94" spans="1:15" x14ac:dyDescent="0.3">
      <c r="A94">
        <v>1357</v>
      </c>
      <c r="B94" s="1" t="s">
        <v>19</v>
      </c>
      <c r="C94">
        <v>24</v>
      </c>
      <c r="D94" s="1" t="s">
        <v>13</v>
      </c>
      <c r="E94" s="1" t="s">
        <v>21</v>
      </c>
      <c r="F94" s="1" t="s">
        <v>137</v>
      </c>
      <c r="G94">
        <v>4</v>
      </c>
      <c r="H94" s="1" t="s">
        <v>23</v>
      </c>
      <c r="I94" s="2">
        <v>45366</v>
      </c>
      <c r="J94" s="3">
        <v>45395</v>
      </c>
      <c r="K94" s="1" t="s">
        <v>28</v>
      </c>
      <c r="L94" s="1" t="s">
        <v>43</v>
      </c>
      <c r="M94" s="1">
        <f t="shared" si="3"/>
        <v>29</v>
      </c>
      <c r="N94" s="1">
        <f t="shared" si="4"/>
        <v>1</v>
      </c>
      <c r="O94" s="8" t="str">
        <f t="shared" si="5"/>
        <v>18-25</v>
      </c>
    </row>
    <row r="95" spans="1:15" x14ac:dyDescent="0.3">
      <c r="A95">
        <v>1183</v>
      </c>
      <c r="B95" s="1" t="s">
        <v>74</v>
      </c>
      <c r="C95">
        <v>40</v>
      </c>
      <c r="D95" s="1" t="s">
        <v>13</v>
      </c>
      <c r="E95" s="1" t="s">
        <v>37</v>
      </c>
      <c r="F95" s="1" t="s">
        <v>138</v>
      </c>
      <c r="G95">
        <v>5</v>
      </c>
      <c r="H95" s="1" t="s">
        <v>23</v>
      </c>
      <c r="I95" s="2">
        <v>45405</v>
      </c>
      <c r="J95" s="3">
        <v>45361</v>
      </c>
      <c r="K95" s="1" t="s">
        <v>17</v>
      </c>
      <c r="L95" s="1" t="s">
        <v>43</v>
      </c>
      <c r="M95" s="1">
        <f t="shared" si="3"/>
        <v>-44</v>
      </c>
      <c r="N95" s="1">
        <f t="shared" si="4"/>
        <v>0</v>
      </c>
      <c r="O95" s="8" t="str">
        <f t="shared" si="5"/>
        <v>36-50</v>
      </c>
    </row>
    <row r="96" spans="1:15" x14ac:dyDescent="0.3">
      <c r="A96">
        <v>1025</v>
      </c>
      <c r="B96" s="1" t="s">
        <v>59</v>
      </c>
      <c r="C96">
        <v>22</v>
      </c>
      <c r="D96" s="1" t="s">
        <v>13</v>
      </c>
      <c r="E96" s="1" t="s">
        <v>14</v>
      </c>
      <c r="F96" s="1" t="s">
        <v>139</v>
      </c>
      <c r="G96">
        <v>1</v>
      </c>
      <c r="H96" s="1" t="s">
        <v>16</v>
      </c>
      <c r="I96" s="2">
        <v>45368</v>
      </c>
      <c r="J96" s="3">
        <v>45428</v>
      </c>
      <c r="K96" s="1" t="s">
        <v>28</v>
      </c>
      <c r="L96" s="1" t="s">
        <v>18</v>
      </c>
      <c r="M96" s="1">
        <f t="shared" si="3"/>
        <v>60</v>
      </c>
      <c r="N96" s="1">
        <f t="shared" si="4"/>
        <v>1</v>
      </c>
      <c r="O96" s="8" t="str">
        <f t="shared" si="5"/>
        <v>18-25</v>
      </c>
    </row>
    <row r="97" spans="1:15" x14ac:dyDescent="0.3">
      <c r="A97">
        <v>1434</v>
      </c>
      <c r="B97" s="1" t="s">
        <v>64</v>
      </c>
      <c r="C97">
        <v>19</v>
      </c>
      <c r="D97" s="1" t="s">
        <v>20</v>
      </c>
      <c r="E97" s="1" t="s">
        <v>21</v>
      </c>
      <c r="F97" s="1" t="s">
        <v>140</v>
      </c>
      <c r="G97">
        <v>5</v>
      </c>
      <c r="H97" s="1" t="s">
        <v>16</v>
      </c>
      <c r="I97" s="2">
        <v>45324</v>
      </c>
      <c r="J97" s="3">
        <v>45791</v>
      </c>
      <c r="K97" s="1" t="s">
        <v>31</v>
      </c>
      <c r="L97" s="1" t="s">
        <v>56</v>
      </c>
      <c r="M97" s="1">
        <f t="shared" si="3"/>
        <v>467</v>
      </c>
      <c r="N97" s="1">
        <f t="shared" si="4"/>
        <v>0</v>
      </c>
      <c r="O97" s="8" t="str">
        <f t="shared" si="5"/>
        <v>18-25</v>
      </c>
    </row>
    <row r="98" spans="1:15" x14ac:dyDescent="0.3">
      <c r="A98">
        <v>1468</v>
      </c>
      <c r="B98" s="1" t="s">
        <v>25</v>
      </c>
      <c r="C98">
        <v>19</v>
      </c>
      <c r="D98" s="1" t="s">
        <v>13</v>
      </c>
      <c r="E98" s="1" t="s">
        <v>37</v>
      </c>
      <c r="F98" s="1" t="s">
        <v>141</v>
      </c>
      <c r="G98">
        <v>5</v>
      </c>
      <c r="H98" s="1" t="s">
        <v>47</v>
      </c>
      <c r="I98" s="2">
        <v>45296</v>
      </c>
      <c r="J98" s="3">
        <v>45437</v>
      </c>
      <c r="K98" s="1" t="s">
        <v>28</v>
      </c>
      <c r="L98" s="1" t="s">
        <v>56</v>
      </c>
      <c r="M98" s="1">
        <f t="shared" si="3"/>
        <v>141</v>
      </c>
      <c r="N98" s="1">
        <f t="shared" si="4"/>
        <v>1</v>
      </c>
      <c r="O98" s="8" t="str">
        <f t="shared" si="5"/>
        <v>18-25</v>
      </c>
    </row>
    <row r="99" spans="1:15" x14ac:dyDescent="0.3">
      <c r="A99">
        <v>1312</v>
      </c>
      <c r="B99" s="1" t="s">
        <v>12</v>
      </c>
      <c r="C99">
        <v>25</v>
      </c>
      <c r="D99" s="1" t="s">
        <v>13</v>
      </c>
      <c r="E99" s="1" t="s">
        <v>14</v>
      </c>
      <c r="F99" s="1" t="s">
        <v>142</v>
      </c>
      <c r="G99">
        <v>5</v>
      </c>
      <c r="H99" s="1" t="s">
        <v>16</v>
      </c>
      <c r="I99" s="2">
        <v>45461</v>
      </c>
      <c r="J99" s="3">
        <v>45325</v>
      </c>
      <c r="K99" s="1" t="s">
        <v>28</v>
      </c>
      <c r="L99" s="1" t="s">
        <v>29</v>
      </c>
      <c r="M99" s="1">
        <f t="shared" si="3"/>
        <v>-136</v>
      </c>
      <c r="N99" s="1">
        <f t="shared" si="4"/>
        <v>1</v>
      </c>
      <c r="O99" s="8" t="str">
        <f t="shared" si="5"/>
        <v>18-25</v>
      </c>
    </row>
    <row r="100" spans="1:15" x14ac:dyDescent="0.3">
      <c r="A100">
        <v>1305</v>
      </c>
      <c r="B100" s="1" t="s">
        <v>53</v>
      </c>
      <c r="C100">
        <v>20</v>
      </c>
      <c r="D100" s="1" t="s">
        <v>20</v>
      </c>
      <c r="E100" s="1" t="s">
        <v>37</v>
      </c>
      <c r="F100" s="1" t="s">
        <v>143</v>
      </c>
      <c r="G100">
        <v>1</v>
      </c>
      <c r="H100" s="1" t="s">
        <v>47</v>
      </c>
      <c r="I100" s="2">
        <v>45433</v>
      </c>
      <c r="J100" s="3">
        <v>45471</v>
      </c>
      <c r="K100" s="1" t="s">
        <v>28</v>
      </c>
      <c r="L100" s="1" t="s">
        <v>51</v>
      </c>
      <c r="M100" s="1">
        <f t="shared" si="3"/>
        <v>38</v>
      </c>
      <c r="N100" s="1">
        <f t="shared" si="4"/>
        <v>1</v>
      </c>
      <c r="O100" s="8" t="str">
        <f t="shared" si="5"/>
        <v>18-25</v>
      </c>
    </row>
    <row r="101" spans="1:15" x14ac:dyDescent="0.3">
      <c r="A101">
        <v>1268</v>
      </c>
      <c r="B101" s="1" t="s">
        <v>64</v>
      </c>
      <c r="C101">
        <v>39</v>
      </c>
      <c r="D101" s="1" t="s">
        <v>13</v>
      </c>
      <c r="E101" s="1" t="s">
        <v>37</v>
      </c>
      <c r="F101" s="1" t="s">
        <v>144</v>
      </c>
      <c r="G101">
        <v>2</v>
      </c>
      <c r="H101" s="1" t="s">
        <v>47</v>
      </c>
      <c r="I101" s="2">
        <v>45405</v>
      </c>
      <c r="J101" s="3">
        <v>45309</v>
      </c>
      <c r="K101" s="1" t="s">
        <v>28</v>
      </c>
      <c r="L101" s="1" t="s">
        <v>51</v>
      </c>
      <c r="M101" s="1">
        <f t="shared" si="3"/>
        <v>-96</v>
      </c>
      <c r="N101" s="1">
        <f t="shared" si="4"/>
        <v>1</v>
      </c>
      <c r="O101" s="8" t="str">
        <f t="shared" si="5"/>
        <v>36-50</v>
      </c>
    </row>
    <row r="102" spans="1:15" x14ac:dyDescent="0.3">
      <c r="A102">
        <v>1018</v>
      </c>
      <c r="B102" s="1" t="s">
        <v>53</v>
      </c>
      <c r="C102">
        <v>26</v>
      </c>
      <c r="D102" s="1" t="s">
        <v>13</v>
      </c>
      <c r="E102" s="1" t="s">
        <v>21</v>
      </c>
      <c r="F102" s="1" t="s">
        <v>145</v>
      </c>
      <c r="G102">
        <v>5</v>
      </c>
      <c r="H102" s="1" t="s">
        <v>23</v>
      </c>
      <c r="I102" s="2">
        <v>45431</v>
      </c>
      <c r="J102" s="3">
        <v>45447</v>
      </c>
      <c r="K102" s="1" t="s">
        <v>28</v>
      </c>
      <c r="L102" s="1" t="s">
        <v>29</v>
      </c>
      <c r="M102" s="1">
        <f t="shared" si="3"/>
        <v>16</v>
      </c>
      <c r="N102" s="1">
        <f t="shared" si="4"/>
        <v>1</v>
      </c>
      <c r="O102" s="8" t="str">
        <f t="shared" si="5"/>
        <v>26-35</v>
      </c>
    </row>
    <row r="103" spans="1:15" x14ac:dyDescent="0.3">
      <c r="A103">
        <v>1465</v>
      </c>
      <c r="B103" s="1" t="s">
        <v>59</v>
      </c>
      <c r="C103">
        <v>26</v>
      </c>
      <c r="D103" s="1" t="s">
        <v>20</v>
      </c>
      <c r="E103" s="1" t="s">
        <v>21</v>
      </c>
      <c r="F103" s="1" t="s">
        <v>146</v>
      </c>
      <c r="G103">
        <v>2</v>
      </c>
      <c r="H103" s="1" t="s">
        <v>23</v>
      </c>
      <c r="I103" s="2">
        <v>45453</v>
      </c>
      <c r="J103" s="3">
        <v>45385</v>
      </c>
      <c r="K103" s="1" t="s">
        <v>28</v>
      </c>
      <c r="L103" s="1" t="s">
        <v>24</v>
      </c>
      <c r="M103" s="1">
        <f t="shared" si="3"/>
        <v>-68</v>
      </c>
      <c r="N103" s="1">
        <f t="shared" si="4"/>
        <v>1</v>
      </c>
      <c r="O103" s="8" t="str">
        <f t="shared" si="5"/>
        <v>26-35</v>
      </c>
    </row>
    <row r="104" spans="1:15" x14ac:dyDescent="0.3">
      <c r="A104">
        <v>1001</v>
      </c>
      <c r="B104" s="1" t="s">
        <v>40</v>
      </c>
      <c r="C104">
        <v>25</v>
      </c>
      <c r="D104" s="1" t="s">
        <v>13</v>
      </c>
      <c r="E104" s="1" t="s">
        <v>14</v>
      </c>
      <c r="F104" s="1" t="s">
        <v>147</v>
      </c>
      <c r="G104">
        <v>4</v>
      </c>
      <c r="H104" s="1" t="s">
        <v>23</v>
      </c>
      <c r="I104" s="2">
        <v>45354</v>
      </c>
      <c r="J104" s="3">
        <v>45397</v>
      </c>
      <c r="K104" s="1" t="s">
        <v>28</v>
      </c>
      <c r="L104" s="1" t="s">
        <v>43</v>
      </c>
      <c r="M104" s="1">
        <f t="shared" si="3"/>
        <v>43</v>
      </c>
      <c r="N104" s="1">
        <f t="shared" si="4"/>
        <v>1</v>
      </c>
      <c r="O104" s="8" t="str">
        <f t="shared" si="5"/>
        <v>18-25</v>
      </c>
    </row>
    <row r="105" spans="1:15" x14ac:dyDescent="0.3">
      <c r="A105">
        <v>1051</v>
      </c>
      <c r="B105" s="1" t="s">
        <v>74</v>
      </c>
      <c r="C105">
        <v>19</v>
      </c>
      <c r="D105" s="1" t="s">
        <v>20</v>
      </c>
      <c r="E105" s="1" t="s">
        <v>37</v>
      </c>
      <c r="F105" s="1" t="s">
        <v>148</v>
      </c>
      <c r="G105">
        <v>1</v>
      </c>
      <c r="H105" s="1" t="s">
        <v>16</v>
      </c>
      <c r="I105" s="2">
        <v>45350</v>
      </c>
      <c r="J105" s="3">
        <v>45353</v>
      </c>
      <c r="K105" s="1" t="s">
        <v>28</v>
      </c>
      <c r="L105" s="1" t="s">
        <v>36</v>
      </c>
      <c r="M105" s="1">
        <f t="shared" si="3"/>
        <v>3</v>
      </c>
      <c r="N105" s="1">
        <f t="shared" si="4"/>
        <v>1</v>
      </c>
      <c r="O105" s="8" t="str">
        <f t="shared" si="5"/>
        <v>18-25</v>
      </c>
    </row>
    <row r="106" spans="1:15" x14ac:dyDescent="0.3">
      <c r="A106">
        <v>1428</v>
      </c>
      <c r="B106" s="1" t="s">
        <v>71</v>
      </c>
      <c r="C106">
        <v>22</v>
      </c>
      <c r="D106" s="1" t="s">
        <v>20</v>
      </c>
      <c r="E106" s="1" t="s">
        <v>26</v>
      </c>
      <c r="F106" s="1" t="s">
        <v>149</v>
      </c>
      <c r="G106">
        <v>4</v>
      </c>
      <c r="H106" s="1" t="s">
        <v>23</v>
      </c>
      <c r="I106" s="2">
        <v>45354</v>
      </c>
      <c r="J106" s="3">
        <v>45456</v>
      </c>
      <c r="K106" s="1" t="s">
        <v>31</v>
      </c>
      <c r="L106" s="1" t="s">
        <v>51</v>
      </c>
      <c r="M106" s="1">
        <f t="shared" si="3"/>
        <v>102</v>
      </c>
      <c r="N106" s="1">
        <f t="shared" si="4"/>
        <v>0</v>
      </c>
      <c r="O106" s="8" t="str">
        <f t="shared" si="5"/>
        <v>18-25</v>
      </c>
    </row>
    <row r="107" spans="1:15" x14ac:dyDescent="0.3">
      <c r="A107">
        <v>1373</v>
      </c>
      <c r="B107" s="1" t="s">
        <v>12</v>
      </c>
      <c r="C107">
        <v>39</v>
      </c>
      <c r="D107" s="1" t="s">
        <v>20</v>
      </c>
      <c r="E107" s="1" t="s">
        <v>37</v>
      </c>
      <c r="F107" s="1" t="s">
        <v>150</v>
      </c>
      <c r="G107">
        <v>5</v>
      </c>
      <c r="H107" s="1" t="s">
        <v>47</v>
      </c>
      <c r="I107" s="2">
        <v>45428</v>
      </c>
      <c r="J107" s="3">
        <v>45343</v>
      </c>
      <c r="K107" s="1" t="s">
        <v>28</v>
      </c>
      <c r="L107" s="1" t="s">
        <v>56</v>
      </c>
      <c r="M107" s="1">
        <f t="shared" si="3"/>
        <v>-85</v>
      </c>
      <c r="N107" s="1">
        <f t="shared" si="4"/>
        <v>1</v>
      </c>
      <c r="O107" s="8" t="str">
        <f t="shared" si="5"/>
        <v>36-50</v>
      </c>
    </row>
    <row r="108" spans="1:15" x14ac:dyDescent="0.3">
      <c r="A108">
        <v>1233</v>
      </c>
      <c r="B108" s="1" t="s">
        <v>71</v>
      </c>
      <c r="C108">
        <v>26</v>
      </c>
      <c r="D108" s="1" t="s">
        <v>13</v>
      </c>
      <c r="E108" s="1" t="s">
        <v>14</v>
      </c>
      <c r="F108" s="1" t="s">
        <v>151</v>
      </c>
      <c r="G108">
        <v>5</v>
      </c>
      <c r="H108" s="1" t="s">
        <v>47</v>
      </c>
      <c r="I108" s="2">
        <v>45396</v>
      </c>
      <c r="J108" s="3">
        <v>45406</v>
      </c>
      <c r="K108" s="1" t="s">
        <v>31</v>
      </c>
      <c r="L108" s="1" t="s">
        <v>18</v>
      </c>
      <c r="M108" s="1">
        <f t="shared" si="3"/>
        <v>10</v>
      </c>
      <c r="N108" s="1">
        <f t="shared" si="4"/>
        <v>0</v>
      </c>
      <c r="O108" s="8" t="str">
        <f t="shared" si="5"/>
        <v>26-35</v>
      </c>
    </row>
    <row r="109" spans="1:15" x14ac:dyDescent="0.3">
      <c r="A109">
        <v>1304</v>
      </c>
      <c r="B109" s="1" t="s">
        <v>40</v>
      </c>
      <c r="C109">
        <v>22</v>
      </c>
      <c r="D109" s="1" t="s">
        <v>20</v>
      </c>
      <c r="E109" s="1" t="s">
        <v>26</v>
      </c>
      <c r="F109" s="1" t="s">
        <v>152</v>
      </c>
      <c r="G109">
        <v>4</v>
      </c>
      <c r="H109" s="1" t="s">
        <v>47</v>
      </c>
      <c r="I109" s="2">
        <v>45333</v>
      </c>
      <c r="J109" s="3">
        <v>45408</v>
      </c>
      <c r="K109" s="1" t="s">
        <v>28</v>
      </c>
      <c r="L109" s="1" t="s">
        <v>51</v>
      </c>
      <c r="M109" s="1">
        <f t="shared" si="3"/>
        <v>75</v>
      </c>
      <c r="N109" s="1">
        <f t="shared" si="4"/>
        <v>1</v>
      </c>
      <c r="O109" s="8" t="str">
        <f t="shared" si="5"/>
        <v>18-25</v>
      </c>
    </row>
    <row r="110" spans="1:15" x14ac:dyDescent="0.3">
      <c r="A110">
        <v>1056</v>
      </c>
      <c r="B110" s="1" t="s">
        <v>12</v>
      </c>
      <c r="C110">
        <v>22</v>
      </c>
      <c r="D110" s="1" t="s">
        <v>20</v>
      </c>
      <c r="E110" s="1" t="s">
        <v>21</v>
      </c>
      <c r="F110" s="1" t="s">
        <v>153</v>
      </c>
      <c r="G110">
        <v>5</v>
      </c>
      <c r="H110" s="1" t="s">
        <v>47</v>
      </c>
      <c r="I110" s="2">
        <v>45571</v>
      </c>
      <c r="J110" s="3">
        <v>45598</v>
      </c>
      <c r="K110" s="1" t="s">
        <v>28</v>
      </c>
      <c r="L110" s="1" t="s">
        <v>56</v>
      </c>
      <c r="M110" s="1">
        <f t="shared" si="3"/>
        <v>27</v>
      </c>
      <c r="N110" s="1">
        <f t="shared" si="4"/>
        <v>1</v>
      </c>
      <c r="O110" s="8" t="str">
        <f t="shared" si="5"/>
        <v>18-25</v>
      </c>
    </row>
    <row r="111" spans="1:15" x14ac:dyDescent="0.3">
      <c r="A111">
        <v>1475</v>
      </c>
      <c r="B111" s="1" t="s">
        <v>40</v>
      </c>
      <c r="C111">
        <v>22</v>
      </c>
      <c r="D111" s="1" t="s">
        <v>13</v>
      </c>
      <c r="E111" s="1" t="s">
        <v>21</v>
      </c>
      <c r="F111" s="1" t="s">
        <v>154</v>
      </c>
      <c r="G111">
        <v>1</v>
      </c>
      <c r="H111" s="1" t="s">
        <v>23</v>
      </c>
      <c r="I111" s="2">
        <v>45426</v>
      </c>
      <c r="J111" s="3">
        <v>45312</v>
      </c>
      <c r="K111" s="1" t="s">
        <v>17</v>
      </c>
      <c r="L111" s="1" t="s">
        <v>43</v>
      </c>
      <c r="M111" s="1">
        <f t="shared" si="3"/>
        <v>-114</v>
      </c>
      <c r="N111" s="1">
        <f t="shared" si="4"/>
        <v>0</v>
      </c>
      <c r="O111" s="8" t="str">
        <f t="shared" si="5"/>
        <v>18-25</v>
      </c>
    </row>
    <row r="112" spans="1:15" x14ac:dyDescent="0.3">
      <c r="A112">
        <v>1433</v>
      </c>
      <c r="B112" s="1" t="s">
        <v>32</v>
      </c>
      <c r="C112">
        <v>25</v>
      </c>
      <c r="D112" s="1" t="s">
        <v>20</v>
      </c>
      <c r="E112" s="1" t="s">
        <v>26</v>
      </c>
      <c r="F112" s="1" t="s">
        <v>155</v>
      </c>
      <c r="G112">
        <v>1</v>
      </c>
      <c r="H112" s="1" t="s">
        <v>23</v>
      </c>
      <c r="I112" s="2">
        <v>45434</v>
      </c>
      <c r="J112" s="3">
        <v>45395</v>
      </c>
      <c r="K112" s="1" t="s">
        <v>28</v>
      </c>
      <c r="L112" s="1" t="s">
        <v>24</v>
      </c>
      <c r="M112" s="1">
        <f t="shared" si="3"/>
        <v>-39</v>
      </c>
      <c r="N112" s="1">
        <f t="shared" si="4"/>
        <v>1</v>
      </c>
      <c r="O112" s="8" t="str">
        <f t="shared" si="5"/>
        <v>18-25</v>
      </c>
    </row>
    <row r="113" spans="1:15" x14ac:dyDescent="0.3">
      <c r="A113">
        <v>1342</v>
      </c>
      <c r="B113" s="1" t="s">
        <v>12</v>
      </c>
      <c r="C113">
        <v>25</v>
      </c>
      <c r="D113" s="1" t="s">
        <v>13</v>
      </c>
      <c r="E113" s="1" t="s">
        <v>37</v>
      </c>
      <c r="F113" s="1" t="s">
        <v>156</v>
      </c>
      <c r="G113">
        <v>5</v>
      </c>
      <c r="H113" s="1" t="s">
        <v>16</v>
      </c>
      <c r="I113" s="2">
        <v>45537</v>
      </c>
      <c r="J113" s="3">
        <v>45432</v>
      </c>
      <c r="K113" s="1" t="s">
        <v>17</v>
      </c>
      <c r="L113" s="1" t="s">
        <v>18</v>
      </c>
      <c r="M113" s="1">
        <f t="shared" si="3"/>
        <v>-105</v>
      </c>
      <c r="N113" s="1">
        <f t="shared" si="4"/>
        <v>0</v>
      </c>
      <c r="O113" s="8" t="str">
        <f t="shared" si="5"/>
        <v>18-25</v>
      </c>
    </row>
    <row r="114" spans="1:15" x14ac:dyDescent="0.3">
      <c r="A114">
        <v>1003</v>
      </c>
      <c r="B114" s="1" t="s">
        <v>57</v>
      </c>
      <c r="C114">
        <v>22</v>
      </c>
      <c r="D114" s="1" t="s">
        <v>20</v>
      </c>
      <c r="E114" s="1" t="s">
        <v>21</v>
      </c>
      <c r="F114" s="1" t="s">
        <v>157</v>
      </c>
      <c r="G114">
        <v>5</v>
      </c>
      <c r="H114" s="1" t="s">
        <v>16</v>
      </c>
      <c r="I114" s="2">
        <v>45304</v>
      </c>
      <c r="J114" s="3">
        <v>45445</v>
      </c>
      <c r="K114" s="1" t="s">
        <v>17</v>
      </c>
      <c r="L114" s="1" t="s">
        <v>43</v>
      </c>
      <c r="M114" s="1">
        <f t="shared" si="3"/>
        <v>141</v>
      </c>
      <c r="N114" s="1">
        <f t="shared" si="4"/>
        <v>0</v>
      </c>
      <c r="O114" s="8" t="str">
        <f t="shared" si="5"/>
        <v>18-25</v>
      </c>
    </row>
    <row r="115" spans="1:15" x14ac:dyDescent="0.3">
      <c r="A115">
        <v>1067</v>
      </c>
      <c r="B115" s="1" t="s">
        <v>74</v>
      </c>
      <c r="C115">
        <v>30</v>
      </c>
      <c r="D115" s="1" t="s">
        <v>13</v>
      </c>
      <c r="E115" s="1" t="s">
        <v>37</v>
      </c>
      <c r="F115" s="1" t="s">
        <v>158</v>
      </c>
      <c r="G115">
        <v>5</v>
      </c>
      <c r="H115" s="1" t="s">
        <v>23</v>
      </c>
      <c r="I115" s="2">
        <v>45323</v>
      </c>
      <c r="J115" s="3">
        <v>45379</v>
      </c>
      <c r="K115" s="1" t="s">
        <v>17</v>
      </c>
      <c r="L115" s="1" t="s">
        <v>56</v>
      </c>
      <c r="M115" s="1">
        <f t="shared" si="3"/>
        <v>56</v>
      </c>
      <c r="N115" s="1">
        <f t="shared" si="4"/>
        <v>0</v>
      </c>
      <c r="O115" s="8" t="str">
        <f t="shared" si="5"/>
        <v>26-35</v>
      </c>
    </row>
    <row r="116" spans="1:15" x14ac:dyDescent="0.3">
      <c r="A116">
        <v>1139</v>
      </c>
      <c r="B116" s="1" t="s">
        <v>19</v>
      </c>
      <c r="C116">
        <v>22</v>
      </c>
      <c r="D116" s="1" t="s">
        <v>20</v>
      </c>
      <c r="E116" s="1" t="s">
        <v>37</v>
      </c>
      <c r="F116" s="1" t="s">
        <v>159</v>
      </c>
      <c r="G116">
        <v>4</v>
      </c>
      <c r="H116" s="1" t="s">
        <v>23</v>
      </c>
      <c r="I116" s="2">
        <v>45570</v>
      </c>
      <c r="J116" s="3">
        <v>45474</v>
      </c>
      <c r="K116" s="1" t="s">
        <v>28</v>
      </c>
      <c r="L116" s="1" t="s">
        <v>43</v>
      </c>
      <c r="M116" s="1">
        <f t="shared" si="3"/>
        <v>-96</v>
      </c>
      <c r="N116" s="1">
        <f t="shared" si="4"/>
        <v>1</v>
      </c>
      <c r="O116" s="8" t="str">
        <f t="shared" si="5"/>
        <v>18-25</v>
      </c>
    </row>
    <row r="117" spans="1:15" x14ac:dyDescent="0.3">
      <c r="A117">
        <v>1149</v>
      </c>
      <c r="B117" s="1" t="s">
        <v>64</v>
      </c>
      <c r="C117">
        <v>22</v>
      </c>
      <c r="D117" s="1" t="s">
        <v>13</v>
      </c>
      <c r="E117" s="1" t="s">
        <v>21</v>
      </c>
      <c r="F117" s="1" t="s">
        <v>160</v>
      </c>
      <c r="G117">
        <v>5</v>
      </c>
      <c r="H117" s="1" t="s">
        <v>16</v>
      </c>
      <c r="I117" s="2">
        <v>45386</v>
      </c>
      <c r="J117" s="3">
        <v>45337</v>
      </c>
      <c r="K117" s="1" t="s">
        <v>31</v>
      </c>
      <c r="L117" s="1" t="s">
        <v>34</v>
      </c>
      <c r="M117" s="1">
        <f t="shared" si="3"/>
        <v>-49</v>
      </c>
      <c r="N117" s="1">
        <f t="shared" si="4"/>
        <v>0</v>
      </c>
      <c r="O117" s="8" t="str">
        <f t="shared" si="5"/>
        <v>18-25</v>
      </c>
    </row>
    <row r="118" spans="1:15" x14ac:dyDescent="0.3">
      <c r="A118">
        <v>1473</v>
      </c>
      <c r="B118" s="1" t="s">
        <v>74</v>
      </c>
      <c r="C118">
        <v>19</v>
      </c>
      <c r="D118" s="1" t="s">
        <v>13</v>
      </c>
      <c r="E118" s="1" t="s">
        <v>37</v>
      </c>
      <c r="F118" s="1" t="s">
        <v>161</v>
      </c>
      <c r="G118">
        <v>1</v>
      </c>
      <c r="H118" s="1" t="s">
        <v>47</v>
      </c>
      <c r="I118" s="2">
        <v>45392</v>
      </c>
      <c r="J118" s="3">
        <v>45349</v>
      </c>
      <c r="K118" s="1" t="s">
        <v>49</v>
      </c>
      <c r="L118" s="1" t="s">
        <v>29</v>
      </c>
      <c r="M118" s="1">
        <f t="shared" si="3"/>
        <v>-43</v>
      </c>
      <c r="N118" s="1">
        <f t="shared" si="4"/>
        <v>0</v>
      </c>
      <c r="O118" s="8" t="str">
        <f t="shared" si="5"/>
        <v>18-25</v>
      </c>
    </row>
    <row r="119" spans="1:15" x14ac:dyDescent="0.3">
      <c r="A119">
        <v>1103</v>
      </c>
      <c r="B119" s="1" t="s">
        <v>57</v>
      </c>
      <c r="C119">
        <v>23</v>
      </c>
      <c r="D119" s="1" t="s">
        <v>20</v>
      </c>
      <c r="E119" s="1" t="s">
        <v>26</v>
      </c>
      <c r="F119" s="1" t="s">
        <v>162</v>
      </c>
      <c r="G119">
        <v>5</v>
      </c>
      <c r="H119" s="1" t="s">
        <v>42</v>
      </c>
      <c r="I119" s="2">
        <v>45413</v>
      </c>
      <c r="J119" s="3">
        <v>45375</v>
      </c>
      <c r="K119" s="1" t="s">
        <v>28</v>
      </c>
      <c r="L119" s="1" t="s">
        <v>56</v>
      </c>
      <c r="M119" s="1">
        <f t="shared" si="3"/>
        <v>-38</v>
      </c>
      <c r="N119" s="1">
        <f t="shared" si="4"/>
        <v>1</v>
      </c>
      <c r="O119" s="8" t="str">
        <f t="shared" si="5"/>
        <v>18-25</v>
      </c>
    </row>
    <row r="120" spans="1:15" x14ac:dyDescent="0.3">
      <c r="A120">
        <v>1489</v>
      </c>
      <c r="B120" s="1" t="s">
        <v>53</v>
      </c>
      <c r="C120">
        <v>23</v>
      </c>
      <c r="D120" s="1" t="s">
        <v>20</v>
      </c>
      <c r="E120" s="1" t="s">
        <v>37</v>
      </c>
      <c r="F120" s="1" t="s">
        <v>163</v>
      </c>
      <c r="G120">
        <v>5</v>
      </c>
      <c r="H120" s="1" t="s">
        <v>47</v>
      </c>
      <c r="I120" s="2">
        <v>45327</v>
      </c>
      <c r="J120" s="3">
        <v>45391</v>
      </c>
      <c r="K120" s="1" t="s">
        <v>49</v>
      </c>
      <c r="L120" s="1" t="s">
        <v>43</v>
      </c>
      <c r="M120" s="1">
        <f t="shared" si="3"/>
        <v>64</v>
      </c>
      <c r="N120" s="1">
        <f t="shared" si="4"/>
        <v>0</v>
      </c>
      <c r="O120" s="8" t="str">
        <f t="shared" si="5"/>
        <v>18-25</v>
      </c>
    </row>
    <row r="121" spans="1:15" x14ac:dyDescent="0.3">
      <c r="A121">
        <v>1354</v>
      </c>
      <c r="B121" s="1" t="s">
        <v>19</v>
      </c>
      <c r="C121">
        <v>19</v>
      </c>
      <c r="D121" s="1" t="s">
        <v>20</v>
      </c>
      <c r="E121" s="1" t="s">
        <v>26</v>
      </c>
      <c r="F121" s="1" t="s">
        <v>164</v>
      </c>
      <c r="G121">
        <v>1</v>
      </c>
      <c r="H121" s="1" t="s">
        <v>23</v>
      </c>
      <c r="I121" s="2">
        <v>45316</v>
      </c>
      <c r="J121" s="3">
        <v>45386</v>
      </c>
      <c r="K121" s="1" t="s">
        <v>49</v>
      </c>
      <c r="L121" s="1" t="s">
        <v>29</v>
      </c>
      <c r="M121" s="1">
        <f t="shared" si="3"/>
        <v>70</v>
      </c>
      <c r="N121" s="1">
        <f t="shared" si="4"/>
        <v>0</v>
      </c>
      <c r="O121" s="8" t="str">
        <f t="shared" si="5"/>
        <v>18-25</v>
      </c>
    </row>
    <row r="122" spans="1:15" x14ac:dyDescent="0.3">
      <c r="A122">
        <v>1003</v>
      </c>
      <c r="B122" s="1" t="s">
        <v>12</v>
      </c>
      <c r="C122">
        <v>22</v>
      </c>
      <c r="D122" s="1" t="s">
        <v>20</v>
      </c>
      <c r="E122" s="1" t="s">
        <v>21</v>
      </c>
      <c r="F122" s="1" t="s">
        <v>165</v>
      </c>
      <c r="G122">
        <v>1</v>
      </c>
      <c r="H122" s="1" t="s">
        <v>47</v>
      </c>
      <c r="I122" s="2">
        <v>45457</v>
      </c>
      <c r="J122" s="3">
        <v>45454</v>
      </c>
      <c r="K122" s="1" t="s">
        <v>28</v>
      </c>
      <c r="L122" s="1" t="s">
        <v>36</v>
      </c>
      <c r="M122" s="1">
        <f t="shared" si="3"/>
        <v>-3</v>
      </c>
      <c r="N122" s="1">
        <f t="shared" si="4"/>
        <v>1</v>
      </c>
      <c r="O122" s="8" t="str">
        <f t="shared" si="5"/>
        <v>18-25</v>
      </c>
    </row>
    <row r="123" spans="1:15" x14ac:dyDescent="0.3">
      <c r="A123">
        <v>1395</v>
      </c>
      <c r="B123" s="1" t="s">
        <v>59</v>
      </c>
      <c r="C123">
        <v>39</v>
      </c>
      <c r="D123" s="1" t="s">
        <v>20</v>
      </c>
      <c r="E123" s="1" t="s">
        <v>21</v>
      </c>
      <c r="F123" s="1" t="s">
        <v>166</v>
      </c>
      <c r="G123">
        <v>4</v>
      </c>
      <c r="H123" s="1" t="s">
        <v>16</v>
      </c>
      <c r="I123" s="2">
        <v>45435</v>
      </c>
      <c r="J123" s="3">
        <v>45458</v>
      </c>
      <c r="K123" s="1" t="s">
        <v>31</v>
      </c>
      <c r="L123" s="1" t="s">
        <v>24</v>
      </c>
      <c r="M123" s="1">
        <f t="shared" si="3"/>
        <v>23</v>
      </c>
      <c r="N123" s="1">
        <f t="shared" si="4"/>
        <v>0</v>
      </c>
      <c r="O123" s="8" t="str">
        <f t="shared" si="5"/>
        <v>36-50</v>
      </c>
    </row>
    <row r="124" spans="1:15" x14ac:dyDescent="0.3">
      <c r="A124">
        <v>1259</v>
      </c>
      <c r="B124" s="1" t="s">
        <v>32</v>
      </c>
      <c r="C124">
        <v>23</v>
      </c>
      <c r="D124" s="1" t="s">
        <v>13</v>
      </c>
      <c r="E124" s="1" t="s">
        <v>21</v>
      </c>
      <c r="F124" s="1" t="s">
        <v>167</v>
      </c>
      <c r="G124">
        <v>1</v>
      </c>
      <c r="H124" s="1" t="s">
        <v>47</v>
      </c>
      <c r="I124" s="2">
        <v>45325</v>
      </c>
      <c r="J124" s="3">
        <v>45296</v>
      </c>
      <c r="K124" s="1" t="s">
        <v>17</v>
      </c>
      <c r="L124" s="1" t="s">
        <v>29</v>
      </c>
      <c r="M124" s="1">
        <f t="shared" si="3"/>
        <v>-29</v>
      </c>
      <c r="N124" s="1">
        <f t="shared" si="4"/>
        <v>0</v>
      </c>
      <c r="O124" s="8" t="str">
        <f t="shared" si="5"/>
        <v>18-25</v>
      </c>
    </row>
    <row r="125" spans="1:15" x14ac:dyDescent="0.3">
      <c r="A125">
        <v>1243</v>
      </c>
      <c r="B125" s="1" t="s">
        <v>74</v>
      </c>
      <c r="C125">
        <v>19</v>
      </c>
      <c r="D125" s="1" t="s">
        <v>20</v>
      </c>
      <c r="E125" s="1" t="s">
        <v>14</v>
      </c>
      <c r="F125" s="1" t="s">
        <v>168</v>
      </c>
      <c r="G125">
        <v>1</v>
      </c>
      <c r="H125" s="1" t="s">
        <v>23</v>
      </c>
      <c r="I125" s="2">
        <v>45315</v>
      </c>
      <c r="J125" s="3">
        <v>45336</v>
      </c>
      <c r="K125" s="1" t="s">
        <v>31</v>
      </c>
      <c r="L125" s="1" t="s">
        <v>43</v>
      </c>
      <c r="M125" s="1">
        <f t="shared" si="3"/>
        <v>21</v>
      </c>
      <c r="N125" s="1">
        <f t="shared" si="4"/>
        <v>0</v>
      </c>
      <c r="O125" s="8" t="str">
        <f t="shared" si="5"/>
        <v>18-25</v>
      </c>
    </row>
    <row r="126" spans="1:15" x14ac:dyDescent="0.3">
      <c r="A126">
        <v>1222</v>
      </c>
      <c r="B126" s="1" t="s">
        <v>32</v>
      </c>
      <c r="C126">
        <v>18</v>
      </c>
      <c r="D126" s="1" t="s">
        <v>13</v>
      </c>
      <c r="E126" s="1" t="s">
        <v>14</v>
      </c>
      <c r="F126" s="1" t="s">
        <v>169</v>
      </c>
      <c r="G126">
        <v>2</v>
      </c>
      <c r="H126" s="1" t="s">
        <v>47</v>
      </c>
      <c r="I126" s="2">
        <v>45417</v>
      </c>
      <c r="J126" s="3">
        <v>45376</v>
      </c>
      <c r="K126" s="1" t="s">
        <v>17</v>
      </c>
      <c r="L126" s="1" t="s">
        <v>43</v>
      </c>
      <c r="M126" s="1">
        <f t="shared" si="3"/>
        <v>-41</v>
      </c>
      <c r="N126" s="1">
        <f t="shared" si="4"/>
        <v>0</v>
      </c>
      <c r="O126" s="8" t="str">
        <f t="shared" si="5"/>
        <v>18-25</v>
      </c>
    </row>
    <row r="127" spans="1:15" x14ac:dyDescent="0.3">
      <c r="A127">
        <v>1262</v>
      </c>
      <c r="B127" s="1" t="s">
        <v>40</v>
      </c>
      <c r="C127">
        <v>24</v>
      </c>
      <c r="D127" s="1" t="s">
        <v>13</v>
      </c>
      <c r="E127" s="1" t="s">
        <v>21</v>
      </c>
      <c r="F127" s="1" t="s">
        <v>170</v>
      </c>
      <c r="G127">
        <v>5</v>
      </c>
      <c r="H127" s="1" t="s">
        <v>47</v>
      </c>
      <c r="I127" s="2">
        <v>45462</v>
      </c>
      <c r="J127" s="3">
        <v>45347</v>
      </c>
      <c r="K127" s="1" t="s">
        <v>31</v>
      </c>
      <c r="L127" s="1" t="s">
        <v>29</v>
      </c>
      <c r="M127" s="1">
        <f t="shared" si="3"/>
        <v>-115</v>
      </c>
      <c r="N127" s="1">
        <f t="shared" si="4"/>
        <v>0</v>
      </c>
      <c r="O127" s="8" t="str">
        <f t="shared" si="5"/>
        <v>18-25</v>
      </c>
    </row>
    <row r="128" spans="1:15" x14ac:dyDescent="0.3">
      <c r="A128">
        <v>1265</v>
      </c>
      <c r="B128" s="1" t="s">
        <v>40</v>
      </c>
      <c r="C128">
        <v>18</v>
      </c>
      <c r="D128" s="1" t="s">
        <v>13</v>
      </c>
      <c r="E128" s="1" t="s">
        <v>37</v>
      </c>
      <c r="F128" s="1" t="s">
        <v>171</v>
      </c>
      <c r="G128">
        <v>1</v>
      </c>
      <c r="H128" s="1" t="s">
        <v>47</v>
      </c>
      <c r="I128" s="2">
        <v>45360</v>
      </c>
      <c r="J128" s="3">
        <v>45447</v>
      </c>
      <c r="K128" s="1" t="s">
        <v>31</v>
      </c>
      <c r="L128" s="1" t="s">
        <v>56</v>
      </c>
      <c r="M128" s="1">
        <f t="shared" si="3"/>
        <v>87</v>
      </c>
      <c r="N128" s="1">
        <f t="shared" si="4"/>
        <v>0</v>
      </c>
      <c r="O128" s="8" t="str">
        <f t="shared" si="5"/>
        <v>18-25</v>
      </c>
    </row>
    <row r="129" spans="1:15" x14ac:dyDescent="0.3">
      <c r="A129">
        <v>1087</v>
      </c>
      <c r="B129" s="1" t="s">
        <v>40</v>
      </c>
      <c r="C129">
        <v>22</v>
      </c>
      <c r="D129" s="1" t="s">
        <v>13</v>
      </c>
      <c r="E129" s="1" t="s">
        <v>37</v>
      </c>
      <c r="F129" s="1" t="s">
        <v>172</v>
      </c>
      <c r="G129">
        <v>1</v>
      </c>
      <c r="H129" s="1" t="s">
        <v>23</v>
      </c>
      <c r="I129" s="2">
        <v>45456</v>
      </c>
      <c r="J129" s="3">
        <v>45567</v>
      </c>
      <c r="K129" s="1" t="s">
        <v>28</v>
      </c>
      <c r="L129" s="1" t="s">
        <v>24</v>
      </c>
      <c r="M129" s="1">
        <f t="shared" si="3"/>
        <v>111</v>
      </c>
      <c r="N129" s="1">
        <f t="shared" si="4"/>
        <v>1</v>
      </c>
      <c r="O129" s="8" t="str">
        <f t="shared" si="5"/>
        <v>18-25</v>
      </c>
    </row>
    <row r="130" spans="1:15" x14ac:dyDescent="0.3">
      <c r="A130">
        <v>1014</v>
      </c>
      <c r="B130" s="1" t="s">
        <v>53</v>
      </c>
      <c r="C130">
        <v>22</v>
      </c>
      <c r="D130" s="1" t="s">
        <v>13</v>
      </c>
      <c r="E130" s="1" t="s">
        <v>21</v>
      </c>
      <c r="F130" s="1" t="s">
        <v>173</v>
      </c>
      <c r="G130">
        <v>2</v>
      </c>
      <c r="H130" s="1" t="s">
        <v>16</v>
      </c>
      <c r="I130" s="2">
        <v>45430</v>
      </c>
      <c r="J130" s="3">
        <v>45315</v>
      </c>
      <c r="K130" s="1" t="s">
        <v>28</v>
      </c>
      <c r="L130" s="1" t="s">
        <v>56</v>
      </c>
      <c r="M130" s="1">
        <f t="shared" ref="M130:M193" si="6">J130-I130</f>
        <v>-115</v>
      </c>
      <c r="N130" s="1">
        <f t="shared" ref="N130:N193" si="7">IF(K130="Active",1,0)</f>
        <v>1</v>
      </c>
      <c r="O130" s="8" t="str">
        <f t="shared" ref="O130:O193" si="8">IF(AND(C130&gt;=18,C130&lt;=25),"18-25",
IF(AND(C130&gt;=26,C130&lt;=35),"26-35",
IF(AND(C130&gt;=36,C130&lt;=50),"36-50",
IF(C130&gt;=51,"51+",""))))</f>
        <v>18-25</v>
      </c>
    </row>
    <row r="131" spans="1:15" x14ac:dyDescent="0.3">
      <c r="A131">
        <v>1486</v>
      </c>
      <c r="B131" s="1" t="s">
        <v>32</v>
      </c>
      <c r="C131">
        <v>24</v>
      </c>
      <c r="D131" s="1" t="s">
        <v>13</v>
      </c>
      <c r="E131" s="1" t="s">
        <v>37</v>
      </c>
      <c r="F131" s="1" t="s">
        <v>174</v>
      </c>
      <c r="G131">
        <v>3</v>
      </c>
      <c r="H131" s="1" t="s">
        <v>16</v>
      </c>
      <c r="I131" s="2">
        <v>45352</v>
      </c>
      <c r="J131" s="3">
        <v>45295</v>
      </c>
      <c r="K131" s="1" t="s">
        <v>49</v>
      </c>
      <c r="L131" s="1" t="s">
        <v>34</v>
      </c>
      <c r="M131" s="1">
        <f t="shared" si="6"/>
        <v>-57</v>
      </c>
      <c r="N131" s="1">
        <f t="shared" si="7"/>
        <v>0</v>
      </c>
      <c r="O131" s="8" t="str">
        <f t="shared" si="8"/>
        <v>18-25</v>
      </c>
    </row>
    <row r="132" spans="1:15" x14ac:dyDescent="0.3">
      <c r="A132">
        <v>1467</v>
      </c>
      <c r="B132" s="1" t="s">
        <v>57</v>
      </c>
      <c r="C132">
        <v>39</v>
      </c>
      <c r="D132" s="1" t="s">
        <v>13</v>
      </c>
      <c r="E132" s="1" t="s">
        <v>37</v>
      </c>
      <c r="F132" s="1" t="s">
        <v>175</v>
      </c>
      <c r="G132">
        <v>4</v>
      </c>
      <c r="H132" s="1" t="s">
        <v>23</v>
      </c>
      <c r="I132" s="2">
        <v>45444</v>
      </c>
      <c r="J132" s="3">
        <v>45456</v>
      </c>
      <c r="K132" s="1" t="s">
        <v>49</v>
      </c>
      <c r="L132" s="1" t="s">
        <v>43</v>
      </c>
      <c r="M132" s="1">
        <f t="shared" si="6"/>
        <v>12</v>
      </c>
      <c r="N132" s="1">
        <f t="shared" si="7"/>
        <v>0</v>
      </c>
      <c r="O132" s="8" t="str">
        <f t="shared" si="8"/>
        <v>36-50</v>
      </c>
    </row>
    <row r="133" spans="1:15" x14ac:dyDescent="0.3">
      <c r="A133">
        <v>1377</v>
      </c>
      <c r="B133" s="1" t="s">
        <v>32</v>
      </c>
      <c r="C133">
        <v>26</v>
      </c>
      <c r="D133" s="1" t="s">
        <v>13</v>
      </c>
      <c r="E133" s="1" t="s">
        <v>14</v>
      </c>
      <c r="F133" s="1" t="s">
        <v>176</v>
      </c>
      <c r="G133">
        <v>4</v>
      </c>
      <c r="H133" s="1" t="s">
        <v>47</v>
      </c>
      <c r="I133" s="2">
        <v>45353</v>
      </c>
      <c r="J133" s="3">
        <v>45335</v>
      </c>
      <c r="K133" s="1" t="s">
        <v>17</v>
      </c>
      <c r="L133" s="1" t="s">
        <v>18</v>
      </c>
      <c r="M133" s="1">
        <f t="shared" si="6"/>
        <v>-18</v>
      </c>
      <c r="N133" s="1">
        <f t="shared" si="7"/>
        <v>0</v>
      </c>
      <c r="O133" s="8" t="str">
        <f t="shared" si="8"/>
        <v>26-35</v>
      </c>
    </row>
    <row r="134" spans="1:15" x14ac:dyDescent="0.3">
      <c r="A134">
        <v>1198</v>
      </c>
      <c r="B134" s="1" t="s">
        <v>53</v>
      </c>
      <c r="C134">
        <v>22</v>
      </c>
      <c r="D134" s="1" t="s">
        <v>20</v>
      </c>
      <c r="E134" s="1" t="s">
        <v>21</v>
      </c>
      <c r="F134" s="1" t="s">
        <v>177</v>
      </c>
      <c r="G134">
        <v>1</v>
      </c>
      <c r="H134" s="1" t="s">
        <v>23</v>
      </c>
      <c r="I134" s="2">
        <v>45323</v>
      </c>
      <c r="J134" s="3">
        <v>45407</v>
      </c>
      <c r="K134" s="1" t="s">
        <v>28</v>
      </c>
      <c r="L134" s="1" t="s">
        <v>51</v>
      </c>
      <c r="M134" s="1">
        <f t="shared" si="6"/>
        <v>84</v>
      </c>
      <c r="N134" s="1">
        <f t="shared" si="7"/>
        <v>1</v>
      </c>
      <c r="O134" s="8" t="str">
        <f t="shared" si="8"/>
        <v>18-25</v>
      </c>
    </row>
    <row r="135" spans="1:15" x14ac:dyDescent="0.3">
      <c r="A135">
        <v>1140</v>
      </c>
      <c r="B135" s="1" t="s">
        <v>74</v>
      </c>
      <c r="C135">
        <v>23</v>
      </c>
      <c r="D135" s="1" t="s">
        <v>13</v>
      </c>
      <c r="E135" s="1" t="s">
        <v>14</v>
      </c>
      <c r="F135" s="1" t="s">
        <v>178</v>
      </c>
      <c r="G135">
        <v>3</v>
      </c>
      <c r="H135" s="1" t="s">
        <v>16</v>
      </c>
      <c r="I135" s="2">
        <v>45537</v>
      </c>
      <c r="J135" s="3">
        <v>45311</v>
      </c>
      <c r="K135" s="1" t="s">
        <v>31</v>
      </c>
      <c r="L135" s="1" t="s">
        <v>24</v>
      </c>
      <c r="M135" s="1">
        <f t="shared" si="6"/>
        <v>-226</v>
      </c>
      <c r="N135" s="1">
        <f t="shared" si="7"/>
        <v>0</v>
      </c>
      <c r="O135" s="8" t="str">
        <f t="shared" si="8"/>
        <v>18-25</v>
      </c>
    </row>
    <row r="136" spans="1:15" x14ac:dyDescent="0.3">
      <c r="A136">
        <v>1438</v>
      </c>
      <c r="B136" s="1" t="s">
        <v>53</v>
      </c>
      <c r="C136">
        <v>40</v>
      </c>
      <c r="D136" s="1" t="s">
        <v>20</v>
      </c>
      <c r="E136" s="1" t="s">
        <v>37</v>
      </c>
      <c r="F136" s="1" t="s">
        <v>179</v>
      </c>
      <c r="G136">
        <v>5</v>
      </c>
      <c r="H136" s="1" t="s">
        <v>47</v>
      </c>
      <c r="I136" s="2">
        <v>45386</v>
      </c>
      <c r="J136" s="3">
        <v>45395</v>
      </c>
      <c r="K136" s="1" t="s">
        <v>17</v>
      </c>
      <c r="L136" s="1" t="s">
        <v>43</v>
      </c>
      <c r="M136" s="1">
        <f t="shared" si="6"/>
        <v>9</v>
      </c>
      <c r="N136" s="1">
        <f t="shared" si="7"/>
        <v>0</v>
      </c>
      <c r="O136" s="8" t="str">
        <f t="shared" si="8"/>
        <v>36-50</v>
      </c>
    </row>
    <row r="137" spans="1:15" x14ac:dyDescent="0.3">
      <c r="A137">
        <v>1027</v>
      </c>
      <c r="B137" s="1" t="s">
        <v>19</v>
      </c>
      <c r="C137">
        <v>22</v>
      </c>
      <c r="D137" s="1" t="s">
        <v>20</v>
      </c>
      <c r="E137" s="1" t="s">
        <v>21</v>
      </c>
      <c r="F137" s="1" t="s">
        <v>180</v>
      </c>
      <c r="G137">
        <v>4</v>
      </c>
      <c r="H137" s="1" t="s">
        <v>47</v>
      </c>
      <c r="I137" s="2">
        <v>45348</v>
      </c>
      <c r="J137" s="3">
        <v>45339</v>
      </c>
      <c r="K137" s="1" t="s">
        <v>49</v>
      </c>
      <c r="L137" s="1" t="s">
        <v>29</v>
      </c>
      <c r="M137" s="1">
        <f t="shared" si="6"/>
        <v>-9</v>
      </c>
      <c r="N137" s="1">
        <f t="shared" si="7"/>
        <v>0</v>
      </c>
      <c r="O137" s="8" t="str">
        <f t="shared" si="8"/>
        <v>18-25</v>
      </c>
    </row>
    <row r="138" spans="1:15" x14ac:dyDescent="0.3">
      <c r="A138">
        <v>1294</v>
      </c>
      <c r="B138" s="1" t="s">
        <v>74</v>
      </c>
      <c r="C138">
        <v>24</v>
      </c>
      <c r="D138" s="1" t="s">
        <v>20</v>
      </c>
      <c r="E138" s="1" t="s">
        <v>21</v>
      </c>
      <c r="F138" s="1" t="s">
        <v>181</v>
      </c>
      <c r="G138">
        <v>5</v>
      </c>
      <c r="H138" s="1" t="s">
        <v>47</v>
      </c>
      <c r="I138" s="2">
        <v>45324</v>
      </c>
      <c r="J138" s="3">
        <v>45371</v>
      </c>
      <c r="K138" s="1" t="s">
        <v>31</v>
      </c>
      <c r="L138" s="1" t="s">
        <v>18</v>
      </c>
      <c r="M138" s="1">
        <f t="shared" si="6"/>
        <v>47</v>
      </c>
      <c r="N138" s="1">
        <f t="shared" si="7"/>
        <v>0</v>
      </c>
      <c r="O138" s="8" t="str">
        <f t="shared" si="8"/>
        <v>18-25</v>
      </c>
    </row>
    <row r="139" spans="1:15" x14ac:dyDescent="0.3">
      <c r="A139">
        <v>1401</v>
      </c>
      <c r="B139" s="1" t="s">
        <v>32</v>
      </c>
      <c r="C139">
        <v>30</v>
      </c>
      <c r="D139" s="1" t="s">
        <v>13</v>
      </c>
      <c r="E139" s="1" t="s">
        <v>26</v>
      </c>
      <c r="F139" s="1" t="s">
        <v>182</v>
      </c>
      <c r="G139">
        <v>5</v>
      </c>
      <c r="H139" s="1" t="s">
        <v>47</v>
      </c>
      <c r="I139" s="2">
        <v>45571</v>
      </c>
      <c r="J139" s="3">
        <v>45396</v>
      </c>
      <c r="K139" s="1" t="s">
        <v>17</v>
      </c>
      <c r="L139" s="1" t="s">
        <v>24</v>
      </c>
      <c r="M139" s="1">
        <f t="shared" si="6"/>
        <v>-175</v>
      </c>
      <c r="N139" s="1">
        <f t="shared" si="7"/>
        <v>0</v>
      </c>
      <c r="O139" s="8" t="str">
        <f t="shared" si="8"/>
        <v>26-35</v>
      </c>
    </row>
    <row r="140" spans="1:15" x14ac:dyDescent="0.3">
      <c r="A140">
        <v>1445</v>
      </c>
      <c r="B140" s="1" t="s">
        <v>19</v>
      </c>
      <c r="C140">
        <v>30</v>
      </c>
      <c r="D140" s="1" t="s">
        <v>20</v>
      </c>
      <c r="E140" s="1" t="s">
        <v>37</v>
      </c>
      <c r="F140" s="1" t="s">
        <v>183</v>
      </c>
      <c r="G140">
        <v>5</v>
      </c>
      <c r="H140" s="1" t="s">
        <v>16</v>
      </c>
      <c r="I140" s="2">
        <v>45430</v>
      </c>
      <c r="J140" s="3">
        <v>45447</v>
      </c>
      <c r="K140" s="1" t="s">
        <v>28</v>
      </c>
      <c r="L140" s="1" t="s">
        <v>18</v>
      </c>
      <c r="M140" s="1">
        <f t="shared" si="6"/>
        <v>17</v>
      </c>
      <c r="N140" s="1">
        <f t="shared" si="7"/>
        <v>1</v>
      </c>
      <c r="O140" s="8" t="str">
        <f t="shared" si="8"/>
        <v>26-35</v>
      </c>
    </row>
    <row r="141" spans="1:15" x14ac:dyDescent="0.3">
      <c r="A141">
        <v>1366</v>
      </c>
      <c r="B141" s="1" t="s">
        <v>74</v>
      </c>
      <c r="C141">
        <v>20</v>
      </c>
      <c r="D141" s="1" t="s">
        <v>20</v>
      </c>
      <c r="E141" s="1" t="s">
        <v>37</v>
      </c>
      <c r="F141" s="1" t="s">
        <v>184</v>
      </c>
      <c r="G141">
        <v>1</v>
      </c>
      <c r="H141" s="1" t="s">
        <v>16</v>
      </c>
      <c r="I141" s="2">
        <v>45327</v>
      </c>
      <c r="J141" s="3">
        <v>45448</v>
      </c>
      <c r="K141" s="1" t="s">
        <v>17</v>
      </c>
      <c r="L141" s="1" t="s">
        <v>34</v>
      </c>
      <c r="M141" s="1">
        <f t="shared" si="6"/>
        <v>121</v>
      </c>
      <c r="N141" s="1">
        <f t="shared" si="7"/>
        <v>0</v>
      </c>
      <c r="O141" s="8" t="str">
        <f t="shared" si="8"/>
        <v>18-25</v>
      </c>
    </row>
    <row r="142" spans="1:15" x14ac:dyDescent="0.3">
      <c r="A142">
        <v>1330</v>
      </c>
      <c r="B142" s="1" t="s">
        <v>53</v>
      </c>
      <c r="C142">
        <v>23</v>
      </c>
      <c r="D142" s="1" t="s">
        <v>13</v>
      </c>
      <c r="E142" s="1" t="s">
        <v>14</v>
      </c>
      <c r="F142" s="1" t="s">
        <v>185</v>
      </c>
      <c r="G142">
        <v>1</v>
      </c>
      <c r="H142" s="1" t="s">
        <v>47</v>
      </c>
      <c r="I142" s="2">
        <v>45432</v>
      </c>
      <c r="J142" s="3">
        <v>45324</v>
      </c>
      <c r="K142" s="1" t="s">
        <v>49</v>
      </c>
      <c r="L142" s="1" t="s">
        <v>36</v>
      </c>
      <c r="M142" s="1">
        <f t="shared" si="6"/>
        <v>-108</v>
      </c>
      <c r="N142" s="1">
        <f t="shared" si="7"/>
        <v>0</v>
      </c>
      <c r="O142" s="8" t="str">
        <f t="shared" si="8"/>
        <v>18-25</v>
      </c>
    </row>
    <row r="143" spans="1:15" x14ac:dyDescent="0.3">
      <c r="A143">
        <v>1355</v>
      </c>
      <c r="B143" s="1" t="s">
        <v>57</v>
      </c>
      <c r="C143">
        <v>20</v>
      </c>
      <c r="D143" s="1" t="s">
        <v>13</v>
      </c>
      <c r="E143" s="1" t="s">
        <v>37</v>
      </c>
      <c r="F143" s="1" t="s">
        <v>186</v>
      </c>
      <c r="G143">
        <v>3</v>
      </c>
      <c r="H143" s="1" t="s">
        <v>16</v>
      </c>
      <c r="I143" s="2">
        <v>45362</v>
      </c>
      <c r="J143" s="3">
        <v>45373</v>
      </c>
      <c r="K143" s="1" t="s">
        <v>28</v>
      </c>
      <c r="L143" s="1" t="s">
        <v>51</v>
      </c>
      <c r="M143" s="1">
        <f t="shared" si="6"/>
        <v>11</v>
      </c>
      <c r="N143" s="1">
        <f t="shared" si="7"/>
        <v>1</v>
      </c>
      <c r="O143" s="8" t="str">
        <f t="shared" si="8"/>
        <v>18-25</v>
      </c>
    </row>
    <row r="144" spans="1:15" x14ac:dyDescent="0.3">
      <c r="A144">
        <v>1116</v>
      </c>
      <c r="B144" s="1" t="s">
        <v>12</v>
      </c>
      <c r="C144">
        <v>22</v>
      </c>
      <c r="D144" s="1" t="s">
        <v>13</v>
      </c>
      <c r="E144" s="1" t="s">
        <v>21</v>
      </c>
      <c r="F144" s="1" t="s">
        <v>187</v>
      </c>
      <c r="G144">
        <v>5</v>
      </c>
      <c r="H144" s="1" t="s">
        <v>16</v>
      </c>
      <c r="I144" s="2">
        <v>45433</v>
      </c>
      <c r="J144" s="3">
        <v>45407</v>
      </c>
      <c r="K144" s="1" t="s">
        <v>49</v>
      </c>
      <c r="L144" s="1" t="s">
        <v>36</v>
      </c>
      <c r="M144" s="1">
        <f t="shared" si="6"/>
        <v>-26</v>
      </c>
      <c r="N144" s="1">
        <f t="shared" si="7"/>
        <v>0</v>
      </c>
      <c r="O144" s="8" t="str">
        <f t="shared" si="8"/>
        <v>18-25</v>
      </c>
    </row>
    <row r="145" spans="1:15" x14ac:dyDescent="0.3">
      <c r="A145">
        <v>1099</v>
      </c>
      <c r="B145" s="1" t="s">
        <v>74</v>
      </c>
      <c r="C145">
        <v>39</v>
      </c>
      <c r="D145" s="1" t="s">
        <v>20</v>
      </c>
      <c r="E145" s="1" t="s">
        <v>26</v>
      </c>
      <c r="F145" s="1" t="s">
        <v>188</v>
      </c>
      <c r="G145">
        <v>1</v>
      </c>
      <c r="H145" s="1" t="s">
        <v>23</v>
      </c>
      <c r="I145" s="2">
        <v>45378</v>
      </c>
      <c r="J145" s="3">
        <v>45325</v>
      </c>
      <c r="K145" s="1" t="s">
        <v>17</v>
      </c>
      <c r="L145" s="1" t="s">
        <v>51</v>
      </c>
      <c r="M145" s="1">
        <f t="shared" si="6"/>
        <v>-53</v>
      </c>
      <c r="N145" s="1">
        <f t="shared" si="7"/>
        <v>0</v>
      </c>
      <c r="O145" s="8" t="str">
        <f t="shared" si="8"/>
        <v>36-50</v>
      </c>
    </row>
    <row r="146" spans="1:15" x14ac:dyDescent="0.3">
      <c r="A146">
        <v>1193</v>
      </c>
      <c r="B146" s="1" t="s">
        <v>53</v>
      </c>
      <c r="C146">
        <v>40</v>
      </c>
      <c r="D146" s="1" t="s">
        <v>13</v>
      </c>
      <c r="E146" s="1" t="s">
        <v>21</v>
      </c>
      <c r="F146" s="1" t="s">
        <v>189</v>
      </c>
      <c r="G146">
        <v>4</v>
      </c>
      <c r="H146" s="1" t="s">
        <v>47</v>
      </c>
      <c r="I146" s="2">
        <v>45397</v>
      </c>
      <c r="J146" s="3">
        <v>45458</v>
      </c>
      <c r="K146" s="1" t="s">
        <v>28</v>
      </c>
      <c r="L146" s="1" t="s">
        <v>18</v>
      </c>
      <c r="M146" s="1">
        <f t="shared" si="6"/>
        <v>61</v>
      </c>
      <c r="N146" s="1">
        <f t="shared" si="7"/>
        <v>1</v>
      </c>
      <c r="O146" s="8" t="str">
        <f t="shared" si="8"/>
        <v>36-50</v>
      </c>
    </row>
    <row r="147" spans="1:15" x14ac:dyDescent="0.3">
      <c r="A147">
        <v>1303</v>
      </c>
      <c r="B147" s="1" t="s">
        <v>59</v>
      </c>
      <c r="C147">
        <v>20</v>
      </c>
      <c r="D147" s="1" t="s">
        <v>13</v>
      </c>
      <c r="E147" s="1" t="s">
        <v>14</v>
      </c>
      <c r="F147" s="1" t="s">
        <v>190</v>
      </c>
      <c r="G147">
        <v>1</v>
      </c>
      <c r="H147" s="1" t="s">
        <v>16</v>
      </c>
      <c r="I147" s="2">
        <v>45450</v>
      </c>
      <c r="J147" s="3">
        <v>45459</v>
      </c>
      <c r="K147" s="1" t="s">
        <v>49</v>
      </c>
      <c r="L147" s="1" t="s">
        <v>34</v>
      </c>
      <c r="M147" s="1">
        <f t="shared" si="6"/>
        <v>9</v>
      </c>
      <c r="N147" s="1">
        <f t="shared" si="7"/>
        <v>0</v>
      </c>
      <c r="O147" s="8" t="str">
        <f t="shared" si="8"/>
        <v>18-25</v>
      </c>
    </row>
    <row r="148" spans="1:15" x14ac:dyDescent="0.3">
      <c r="A148">
        <v>1493</v>
      </c>
      <c r="B148" s="1" t="s">
        <v>40</v>
      </c>
      <c r="C148">
        <v>26</v>
      </c>
      <c r="D148" s="1" t="s">
        <v>20</v>
      </c>
      <c r="E148" s="1" t="s">
        <v>21</v>
      </c>
      <c r="F148" s="1" t="s">
        <v>191</v>
      </c>
      <c r="G148">
        <v>4</v>
      </c>
      <c r="H148" s="1" t="s">
        <v>47</v>
      </c>
      <c r="I148" s="2">
        <v>45336</v>
      </c>
      <c r="J148" s="3">
        <v>45305</v>
      </c>
      <c r="K148" s="1" t="s">
        <v>28</v>
      </c>
      <c r="L148" s="1" t="s">
        <v>56</v>
      </c>
      <c r="M148" s="1">
        <f t="shared" si="6"/>
        <v>-31</v>
      </c>
      <c r="N148" s="1">
        <f t="shared" si="7"/>
        <v>1</v>
      </c>
      <c r="O148" s="8" t="str">
        <f t="shared" si="8"/>
        <v>26-35</v>
      </c>
    </row>
    <row r="149" spans="1:15" x14ac:dyDescent="0.3">
      <c r="A149">
        <v>1016</v>
      </c>
      <c r="B149" s="1" t="s">
        <v>59</v>
      </c>
      <c r="C149">
        <v>22</v>
      </c>
      <c r="D149" s="1" t="s">
        <v>20</v>
      </c>
      <c r="E149" s="1" t="s">
        <v>37</v>
      </c>
      <c r="F149" s="1" t="s">
        <v>192</v>
      </c>
      <c r="G149">
        <v>5</v>
      </c>
      <c r="H149" s="1" t="s">
        <v>23</v>
      </c>
      <c r="I149" s="2">
        <v>45628</v>
      </c>
      <c r="J149" s="3">
        <v>45315</v>
      </c>
      <c r="K149" s="1" t="s">
        <v>28</v>
      </c>
      <c r="L149" s="1" t="s">
        <v>34</v>
      </c>
      <c r="M149" s="1">
        <f t="shared" si="6"/>
        <v>-313</v>
      </c>
      <c r="N149" s="1">
        <f t="shared" si="7"/>
        <v>1</v>
      </c>
      <c r="O149" s="8" t="str">
        <f t="shared" si="8"/>
        <v>18-25</v>
      </c>
    </row>
    <row r="150" spans="1:15" x14ac:dyDescent="0.3">
      <c r="A150">
        <v>1133</v>
      </c>
      <c r="B150" s="1" t="s">
        <v>12</v>
      </c>
      <c r="C150">
        <v>19</v>
      </c>
      <c r="D150" s="1" t="s">
        <v>13</v>
      </c>
      <c r="E150" s="1" t="s">
        <v>26</v>
      </c>
      <c r="F150" s="1" t="s">
        <v>193</v>
      </c>
      <c r="G150">
        <v>1</v>
      </c>
      <c r="H150" s="1" t="s">
        <v>16</v>
      </c>
      <c r="I150" s="2">
        <v>45395</v>
      </c>
      <c r="J150" s="3">
        <v>45317</v>
      </c>
      <c r="K150" s="1" t="s">
        <v>49</v>
      </c>
      <c r="L150" s="1" t="s">
        <v>29</v>
      </c>
      <c r="M150" s="1">
        <f t="shared" si="6"/>
        <v>-78</v>
      </c>
      <c r="N150" s="1">
        <f t="shared" si="7"/>
        <v>0</v>
      </c>
      <c r="O150" s="8" t="str">
        <f t="shared" si="8"/>
        <v>18-25</v>
      </c>
    </row>
    <row r="151" spans="1:15" x14ac:dyDescent="0.3">
      <c r="A151">
        <v>1360</v>
      </c>
      <c r="B151" s="1" t="s">
        <v>32</v>
      </c>
      <c r="C151">
        <v>18</v>
      </c>
      <c r="D151" s="1" t="s">
        <v>13</v>
      </c>
      <c r="E151" s="1" t="s">
        <v>14</v>
      </c>
      <c r="F151" s="1" t="s">
        <v>194</v>
      </c>
      <c r="G151">
        <v>1</v>
      </c>
      <c r="H151" s="1" t="s">
        <v>47</v>
      </c>
      <c r="I151" s="2">
        <v>45311</v>
      </c>
      <c r="J151" s="3">
        <v>45374</v>
      </c>
      <c r="K151" s="1" t="s">
        <v>28</v>
      </c>
      <c r="L151" s="1" t="s">
        <v>43</v>
      </c>
      <c r="M151" s="1">
        <f t="shared" si="6"/>
        <v>63</v>
      </c>
      <c r="N151" s="1">
        <f t="shared" si="7"/>
        <v>1</v>
      </c>
      <c r="O151" s="8" t="str">
        <f t="shared" si="8"/>
        <v>18-25</v>
      </c>
    </row>
    <row r="152" spans="1:15" x14ac:dyDescent="0.3">
      <c r="A152">
        <v>1109</v>
      </c>
      <c r="B152" s="1" t="s">
        <v>59</v>
      </c>
      <c r="C152">
        <v>24</v>
      </c>
      <c r="D152" s="1" t="s">
        <v>20</v>
      </c>
      <c r="E152" s="1" t="s">
        <v>37</v>
      </c>
      <c r="F152" s="1" t="s">
        <v>195</v>
      </c>
      <c r="G152">
        <v>1</v>
      </c>
      <c r="H152" s="1" t="s">
        <v>16</v>
      </c>
      <c r="I152" s="2">
        <v>45364</v>
      </c>
      <c r="J152" s="3">
        <v>45408</v>
      </c>
      <c r="K152" s="1" t="s">
        <v>28</v>
      </c>
      <c r="L152" s="1" t="s">
        <v>18</v>
      </c>
      <c r="M152" s="1">
        <f t="shared" si="6"/>
        <v>44</v>
      </c>
      <c r="N152" s="1">
        <f t="shared" si="7"/>
        <v>1</v>
      </c>
      <c r="O152" s="8" t="str">
        <f t="shared" si="8"/>
        <v>18-25</v>
      </c>
    </row>
    <row r="153" spans="1:15" x14ac:dyDescent="0.3">
      <c r="A153">
        <v>1086</v>
      </c>
      <c r="B153" s="1" t="s">
        <v>57</v>
      </c>
      <c r="C153">
        <v>19</v>
      </c>
      <c r="D153" s="1" t="s">
        <v>20</v>
      </c>
      <c r="E153" s="1" t="s">
        <v>21</v>
      </c>
      <c r="F153" s="1" t="s">
        <v>196</v>
      </c>
      <c r="G153">
        <v>4</v>
      </c>
      <c r="H153" s="1" t="s">
        <v>16</v>
      </c>
      <c r="I153" s="2">
        <v>45370</v>
      </c>
      <c r="J153" s="3">
        <v>45379</v>
      </c>
      <c r="K153" s="1" t="s">
        <v>28</v>
      </c>
      <c r="L153" s="1" t="s">
        <v>51</v>
      </c>
      <c r="M153" s="1">
        <f t="shared" si="6"/>
        <v>9</v>
      </c>
      <c r="N153" s="1">
        <f t="shared" si="7"/>
        <v>1</v>
      </c>
      <c r="O153" s="8" t="str">
        <f t="shared" si="8"/>
        <v>18-25</v>
      </c>
    </row>
    <row r="154" spans="1:15" x14ac:dyDescent="0.3">
      <c r="A154">
        <v>1046</v>
      </c>
      <c r="B154" s="1" t="s">
        <v>71</v>
      </c>
      <c r="C154">
        <v>26</v>
      </c>
      <c r="D154" s="1" t="s">
        <v>20</v>
      </c>
      <c r="E154" s="1" t="s">
        <v>21</v>
      </c>
      <c r="F154" s="1" t="s">
        <v>197</v>
      </c>
      <c r="G154">
        <v>3</v>
      </c>
      <c r="H154" s="1" t="s">
        <v>16</v>
      </c>
      <c r="I154" s="2">
        <v>45423</v>
      </c>
      <c r="J154" s="3">
        <v>45340</v>
      </c>
      <c r="K154" s="1" t="s">
        <v>49</v>
      </c>
      <c r="L154" s="1" t="s">
        <v>51</v>
      </c>
      <c r="M154" s="1">
        <f t="shared" si="6"/>
        <v>-83</v>
      </c>
      <c r="N154" s="1">
        <f t="shared" si="7"/>
        <v>0</v>
      </c>
      <c r="O154" s="8" t="str">
        <f t="shared" si="8"/>
        <v>26-35</v>
      </c>
    </row>
    <row r="155" spans="1:15" x14ac:dyDescent="0.3">
      <c r="A155">
        <v>1271</v>
      </c>
      <c r="B155" s="1" t="s">
        <v>40</v>
      </c>
      <c r="C155">
        <v>19</v>
      </c>
      <c r="D155" s="1" t="s">
        <v>13</v>
      </c>
      <c r="E155" s="1" t="s">
        <v>37</v>
      </c>
      <c r="F155" s="1" t="s">
        <v>198</v>
      </c>
      <c r="G155">
        <v>2</v>
      </c>
      <c r="H155" s="1" t="s">
        <v>23</v>
      </c>
      <c r="I155" s="2">
        <v>45345</v>
      </c>
      <c r="J155" s="3">
        <v>45415</v>
      </c>
      <c r="K155" s="1" t="s">
        <v>17</v>
      </c>
      <c r="L155" s="1" t="s">
        <v>51</v>
      </c>
      <c r="M155" s="1">
        <f t="shared" si="6"/>
        <v>70</v>
      </c>
      <c r="N155" s="1">
        <f t="shared" si="7"/>
        <v>0</v>
      </c>
      <c r="O155" s="8" t="str">
        <f t="shared" si="8"/>
        <v>18-25</v>
      </c>
    </row>
    <row r="156" spans="1:15" x14ac:dyDescent="0.3">
      <c r="A156">
        <v>1315</v>
      </c>
      <c r="B156" s="1" t="s">
        <v>12</v>
      </c>
      <c r="C156">
        <v>23</v>
      </c>
      <c r="D156" s="1" t="s">
        <v>20</v>
      </c>
      <c r="E156" s="1" t="s">
        <v>37</v>
      </c>
      <c r="F156" s="1" t="s">
        <v>199</v>
      </c>
      <c r="G156">
        <v>1</v>
      </c>
      <c r="H156" s="1" t="s">
        <v>47</v>
      </c>
      <c r="I156" s="2">
        <v>45397</v>
      </c>
      <c r="J156" s="3">
        <v>45363</v>
      </c>
      <c r="K156" s="1" t="s">
        <v>31</v>
      </c>
      <c r="L156" s="1" t="s">
        <v>18</v>
      </c>
      <c r="M156" s="1">
        <f t="shared" si="6"/>
        <v>-34</v>
      </c>
      <c r="N156" s="1">
        <f t="shared" si="7"/>
        <v>0</v>
      </c>
      <c r="O156" s="8" t="str">
        <f t="shared" si="8"/>
        <v>18-25</v>
      </c>
    </row>
    <row r="157" spans="1:15" x14ac:dyDescent="0.3">
      <c r="A157">
        <v>1296</v>
      </c>
      <c r="B157" s="1" t="s">
        <v>53</v>
      </c>
      <c r="C157">
        <v>24</v>
      </c>
      <c r="D157" s="1" t="s">
        <v>13</v>
      </c>
      <c r="E157" s="1" t="s">
        <v>21</v>
      </c>
      <c r="F157" s="1" t="s">
        <v>200</v>
      </c>
      <c r="G157">
        <v>4</v>
      </c>
      <c r="H157" s="1" t="s">
        <v>23</v>
      </c>
      <c r="I157" s="2">
        <v>45358</v>
      </c>
      <c r="J157" s="3">
        <v>45323</v>
      </c>
      <c r="K157" s="1" t="s">
        <v>49</v>
      </c>
      <c r="L157" s="1" t="s">
        <v>24</v>
      </c>
      <c r="M157" s="1">
        <f t="shared" si="6"/>
        <v>-35</v>
      </c>
      <c r="N157" s="1">
        <f t="shared" si="7"/>
        <v>0</v>
      </c>
      <c r="O157" s="8" t="str">
        <f t="shared" si="8"/>
        <v>18-25</v>
      </c>
    </row>
    <row r="158" spans="1:15" x14ac:dyDescent="0.3">
      <c r="A158">
        <v>1409</v>
      </c>
      <c r="B158" s="1" t="s">
        <v>74</v>
      </c>
      <c r="C158">
        <v>23</v>
      </c>
      <c r="D158" s="1" t="s">
        <v>20</v>
      </c>
      <c r="E158" s="1" t="s">
        <v>21</v>
      </c>
      <c r="F158" s="1" t="s">
        <v>201</v>
      </c>
      <c r="G158">
        <v>1</v>
      </c>
      <c r="H158" s="1" t="s">
        <v>23</v>
      </c>
      <c r="I158" s="2">
        <v>45466</v>
      </c>
      <c r="J158" s="3">
        <v>45389</v>
      </c>
      <c r="K158" s="1" t="s">
        <v>31</v>
      </c>
      <c r="L158" s="1" t="s">
        <v>36</v>
      </c>
      <c r="M158" s="1">
        <f t="shared" si="6"/>
        <v>-77</v>
      </c>
      <c r="N158" s="1">
        <f t="shared" si="7"/>
        <v>0</v>
      </c>
      <c r="O158" s="8" t="str">
        <f t="shared" si="8"/>
        <v>18-25</v>
      </c>
    </row>
    <row r="159" spans="1:15" x14ac:dyDescent="0.3">
      <c r="A159">
        <v>1301</v>
      </c>
      <c r="B159" s="1" t="s">
        <v>59</v>
      </c>
      <c r="C159">
        <v>24</v>
      </c>
      <c r="D159" s="1" t="s">
        <v>13</v>
      </c>
      <c r="E159" s="1" t="s">
        <v>37</v>
      </c>
      <c r="F159" s="1" t="s">
        <v>202</v>
      </c>
      <c r="G159">
        <v>1</v>
      </c>
      <c r="H159" s="1" t="s">
        <v>23</v>
      </c>
      <c r="I159" s="2">
        <v>45375</v>
      </c>
      <c r="J159" s="3">
        <v>45413</v>
      </c>
      <c r="K159" s="1" t="s">
        <v>49</v>
      </c>
      <c r="L159" s="1" t="s">
        <v>51</v>
      </c>
      <c r="M159" s="1">
        <f t="shared" si="6"/>
        <v>38</v>
      </c>
      <c r="N159" s="1">
        <f t="shared" si="7"/>
        <v>0</v>
      </c>
      <c r="O159" s="8" t="str">
        <f t="shared" si="8"/>
        <v>18-25</v>
      </c>
    </row>
    <row r="160" spans="1:15" x14ac:dyDescent="0.3">
      <c r="A160">
        <v>1433</v>
      </c>
      <c r="B160" s="1" t="s">
        <v>59</v>
      </c>
      <c r="C160">
        <v>18</v>
      </c>
      <c r="D160" s="1" t="s">
        <v>13</v>
      </c>
      <c r="E160" s="1" t="s">
        <v>26</v>
      </c>
      <c r="F160" s="1" t="s">
        <v>203</v>
      </c>
      <c r="G160">
        <v>1</v>
      </c>
      <c r="H160" s="1" t="s">
        <v>16</v>
      </c>
      <c r="I160" s="2">
        <v>45405</v>
      </c>
      <c r="J160" s="3">
        <v>45414</v>
      </c>
      <c r="K160" s="1" t="s">
        <v>28</v>
      </c>
      <c r="L160" s="1" t="s">
        <v>56</v>
      </c>
      <c r="M160" s="1">
        <f t="shared" si="6"/>
        <v>9</v>
      </c>
      <c r="N160" s="1">
        <f t="shared" si="7"/>
        <v>1</v>
      </c>
      <c r="O160" s="8" t="str">
        <f t="shared" si="8"/>
        <v>18-25</v>
      </c>
    </row>
    <row r="161" spans="1:15" x14ac:dyDescent="0.3">
      <c r="A161">
        <v>1256</v>
      </c>
      <c r="B161" s="1" t="s">
        <v>71</v>
      </c>
      <c r="C161">
        <v>22</v>
      </c>
      <c r="D161" s="1" t="s">
        <v>20</v>
      </c>
      <c r="E161" s="1" t="s">
        <v>26</v>
      </c>
      <c r="F161" s="1" t="s">
        <v>204</v>
      </c>
      <c r="G161">
        <v>1</v>
      </c>
      <c r="H161" s="1" t="s">
        <v>16</v>
      </c>
      <c r="I161" s="2">
        <v>45389</v>
      </c>
      <c r="J161" s="3">
        <v>45300</v>
      </c>
      <c r="K161" s="1" t="s">
        <v>28</v>
      </c>
      <c r="L161" s="1" t="s">
        <v>34</v>
      </c>
      <c r="M161" s="1">
        <f t="shared" si="6"/>
        <v>-89</v>
      </c>
      <c r="N161" s="1">
        <f t="shared" si="7"/>
        <v>1</v>
      </c>
      <c r="O161" s="8" t="str">
        <f t="shared" si="8"/>
        <v>18-25</v>
      </c>
    </row>
    <row r="162" spans="1:15" x14ac:dyDescent="0.3">
      <c r="A162">
        <v>1419</v>
      </c>
      <c r="B162" s="1" t="s">
        <v>57</v>
      </c>
      <c r="C162">
        <v>39</v>
      </c>
      <c r="D162" s="1" t="s">
        <v>13</v>
      </c>
      <c r="E162" s="1" t="s">
        <v>37</v>
      </c>
      <c r="F162" s="1" t="s">
        <v>205</v>
      </c>
      <c r="G162">
        <v>2</v>
      </c>
      <c r="H162" s="1" t="s">
        <v>16</v>
      </c>
      <c r="I162" s="2">
        <v>45457</v>
      </c>
      <c r="J162" s="3">
        <v>45401</v>
      </c>
      <c r="K162" s="1" t="s">
        <v>17</v>
      </c>
      <c r="L162" s="1" t="s">
        <v>56</v>
      </c>
      <c r="M162" s="1">
        <f t="shared" si="6"/>
        <v>-56</v>
      </c>
      <c r="N162" s="1">
        <f t="shared" si="7"/>
        <v>0</v>
      </c>
      <c r="O162" s="8" t="str">
        <f t="shared" si="8"/>
        <v>36-50</v>
      </c>
    </row>
    <row r="163" spans="1:15" x14ac:dyDescent="0.3">
      <c r="A163">
        <v>1413</v>
      </c>
      <c r="B163" s="1" t="s">
        <v>53</v>
      </c>
      <c r="C163">
        <v>22</v>
      </c>
      <c r="D163" s="1" t="s">
        <v>13</v>
      </c>
      <c r="E163" s="1" t="s">
        <v>37</v>
      </c>
      <c r="F163" s="1" t="s">
        <v>206</v>
      </c>
      <c r="G163">
        <v>4</v>
      </c>
      <c r="H163" s="1" t="s">
        <v>16</v>
      </c>
      <c r="I163" s="2">
        <v>45355</v>
      </c>
      <c r="J163" s="3">
        <v>45368</v>
      </c>
      <c r="K163" s="1" t="s">
        <v>28</v>
      </c>
      <c r="L163" s="1" t="s">
        <v>34</v>
      </c>
      <c r="M163" s="1">
        <f t="shared" si="6"/>
        <v>13</v>
      </c>
      <c r="N163" s="1">
        <f t="shared" si="7"/>
        <v>1</v>
      </c>
      <c r="O163" s="8" t="str">
        <f t="shared" si="8"/>
        <v>18-25</v>
      </c>
    </row>
    <row r="164" spans="1:15" x14ac:dyDescent="0.3">
      <c r="A164">
        <v>1385</v>
      </c>
      <c r="B164" s="1" t="s">
        <v>19</v>
      </c>
      <c r="C164">
        <v>18</v>
      </c>
      <c r="D164" s="1" t="s">
        <v>13</v>
      </c>
      <c r="E164" s="1" t="s">
        <v>37</v>
      </c>
      <c r="F164" s="1" t="s">
        <v>207</v>
      </c>
      <c r="G164">
        <v>4</v>
      </c>
      <c r="H164" s="1" t="s">
        <v>16</v>
      </c>
      <c r="I164" s="2">
        <v>45311</v>
      </c>
      <c r="J164" s="3">
        <v>45309</v>
      </c>
      <c r="K164" s="1" t="s">
        <v>28</v>
      </c>
      <c r="L164" s="1" t="s">
        <v>29</v>
      </c>
      <c r="M164" s="1">
        <f t="shared" si="6"/>
        <v>-2</v>
      </c>
      <c r="N164" s="1">
        <f t="shared" si="7"/>
        <v>1</v>
      </c>
      <c r="O164" s="8" t="str">
        <f t="shared" si="8"/>
        <v>18-25</v>
      </c>
    </row>
    <row r="165" spans="1:15" x14ac:dyDescent="0.3">
      <c r="A165">
        <v>1467</v>
      </c>
      <c r="B165" s="1" t="s">
        <v>74</v>
      </c>
      <c r="C165">
        <v>30</v>
      </c>
      <c r="D165" s="1" t="s">
        <v>13</v>
      </c>
      <c r="E165" s="1" t="s">
        <v>14</v>
      </c>
      <c r="F165" s="1" t="s">
        <v>208</v>
      </c>
      <c r="G165">
        <v>5</v>
      </c>
      <c r="H165" s="1" t="s">
        <v>16</v>
      </c>
      <c r="I165" s="2">
        <v>45338</v>
      </c>
      <c r="J165" s="3">
        <v>45301</v>
      </c>
      <c r="K165" s="1" t="s">
        <v>49</v>
      </c>
      <c r="L165" s="1" t="s">
        <v>29</v>
      </c>
      <c r="M165" s="1">
        <f t="shared" si="6"/>
        <v>-37</v>
      </c>
      <c r="N165" s="1">
        <f t="shared" si="7"/>
        <v>0</v>
      </c>
      <c r="O165" s="8" t="str">
        <f t="shared" si="8"/>
        <v>26-35</v>
      </c>
    </row>
    <row r="166" spans="1:15" x14ac:dyDescent="0.3">
      <c r="A166">
        <v>1324</v>
      </c>
      <c r="B166" s="1" t="s">
        <v>53</v>
      </c>
      <c r="C166">
        <v>19</v>
      </c>
      <c r="D166" s="1" t="s">
        <v>20</v>
      </c>
      <c r="E166" s="1" t="s">
        <v>21</v>
      </c>
      <c r="F166" s="1" t="s">
        <v>209</v>
      </c>
      <c r="G166">
        <v>1</v>
      </c>
      <c r="H166" s="1" t="s">
        <v>23</v>
      </c>
      <c r="I166" s="2">
        <v>45461</v>
      </c>
      <c r="J166" s="3">
        <v>45328</v>
      </c>
      <c r="K166" s="1" t="s">
        <v>28</v>
      </c>
      <c r="L166" s="1" t="s">
        <v>36</v>
      </c>
      <c r="M166" s="1">
        <f t="shared" si="6"/>
        <v>-133</v>
      </c>
      <c r="N166" s="1">
        <f t="shared" si="7"/>
        <v>1</v>
      </c>
      <c r="O166" s="8" t="str">
        <f t="shared" si="8"/>
        <v>18-25</v>
      </c>
    </row>
    <row r="167" spans="1:15" x14ac:dyDescent="0.3">
      <c r="A167">
        <v>1414</v>
      </c>
      <c r="B167" s="1" t="s">
        <v>32</v>
      </c>
      <c r="C167">
        <v>18</v>
      </c>
      <c r="D167" s="1" t="s">
        <v>13</v>
      </c>
      <c r="E167" s="1" t="s">
        <v>14</v>
      </c>
      <c r="F167" s="1" t="s">
        <v>210</v>
      </c>
      <c r="G167">
        <v>5</v>
      </c>
      <c r="H167" s="1" t="s">
        <v>42</v>
      </c>
      <c r="I167" s="2">
        <v>45423</v>
      </c>
      <c r="J167" s="3">
        <v>45410</v>
      </c>
      <c r="K167" s="1" t="s">
        <v>28</v>
      </c>
      <c r="L167" s="1" t="s">
        <v>24</v>
      </c>
      <c r="M167" s="1">
        <f t="shared" si="6"/>
        <v>-13</v>
      </c>
      <c r="N167" s="1">
        <f t="shared" si="7"/>
        <v>1</v>
      </c>
      <c r="O167" s="8" t="str">
        <f t="shared" si="8"/>
        <v>18-25</v>
      </c>
    </row>
    <row r="168" spans="1:15" x14ac:dyDescent="0.3">
      <c r="A168">
        <v>1391</v>
      </c>
      <c r="B168" s="1" t="s">
        <v>12</v>
      </c>
      <c r="C168">
        <v>23</v>
      </c>
      <c r="D168" s="1" t="s">
        <v>20</v>
      </c>
      <c r="E168" s="1" t="s">
        <v>21</v>
      </c>
      <c r="F168" s="1" t="s">
        <v>211</v>
      </c>
      <c r="G168">
        <v>1</v>
      </c>
      <c r="H168" s="1" t="s">
        <v>23</v>
      </c>
      <c r="I168" s="2">
        <v>45407</v>
      </c>
      <c r="J168" s="3">
        <v>45295</v>
      </c>
      <c r="K168" s="1" t="s">
        <v>28</v>
      </c>
      <c r="L168" s="1" t="s">
        <v>56</v>
      </c>
      <c r="M168" s="1">
        <f t="shared" si="6"/>
        <v>-112</v>
      </c>
      <c r="N168" s="1">
        <f t="shared" si="7"/>
        <v>1</v>
      </c>
      <c r="O168" s="8" t="str">
        <f t="shared" si="8"/>
        <v>18-25</v>
      </c>
    </row>
    <row r="169" spans="1:15" x14ac:dyDescent="0.3">
      <c r="A169">
        <v>1349</v>
      </c>
      <c r="B169" s="1" t="s">
        <v>57</v>
      </c>
      <c r="C169">
        <v>24</v>
      </c>
      <c r="D169" s="1" t="s">
        <v>20</v>
      </c>
      <c r="E169" s="1" t="s">
        <v>37</v>
      </c>
      <c r="F169" s="1" t="s">
        <v>212</v>
      </c>
      <c r="G169">
        <v>5</v>
      </c>
      <c r="H169" s="1" t="s">
        <v>16</v>
      </c>
      <c r="I169" s="2">
        <v>45452</v>
      </c>
      <c r="J169" s="3">
        <v>45373</v>
      </c>
      <c r="K169" s="1" t="s">
        <v>28</v>
      </c>
      <c r="L169" s="1" t="s">
        <v>18</v>
      </c>
      <c r="M169" s="1">
        <f t="shared" si="6"/>
        <v>-79</v>
      </c>
      <c r="N169" s="1">
        <f t="shared" si="7"/>
        <v>1</v>
      </c>
      <c r="O169" s="8" t="str">
        <f t="shared" si="8"/>
        <v>18-25</v>
      </c>
    </row>
    <row r="170" spans="1:15" x14ac:dyDescent="0.3">
      <c r="A170">
        <v>1486</v>
      </c>
      <c r="B170" s="1" t="s">
        <v>64</v>
      </c>
      <c r="C170">
        <v>24</v>
      </c>
      <c r="D170" s="1" t="s">
        <v>13</v>
      </c>
      <c r="E170" s="1" t="s">
        <v>21</v>
      </c>
      <c r="F170" s="1" t="s">
        <v>213</v>
      </c>
      <c r="G170">
        <v>4</v>
      </c>
      <c r="H170" s="1" t="s">
        <v>23</v>
      </c>
      <c r="I170" s="2">
        <v>45425</v>
      </c>
      <c r="J170" s="3">
        <v>45302</v>
      </c>
      <c r="K170" s="1" t="s">
        <v>28</v>
      </c>
      <c r="L170" s="1" t="s">
        <v>29</v>
      </c>
      <c r="M170" s="1">
        <f t="shared" si="6"/>
        <v>-123</v>
      </c>
      <c r="N170" s="1">
        <f t="shared" si="7"/>
        <v>1</v>
      </c>
      <c r="O170" s="8" t="str">
        <f t="shared" si="8"/>
        <v>18-25</v>
      </c>
    </row>
    <row r="171" spans="1:15" x14ac:dyDescent="0.3">
      <c r="A171">
        <v>1060</v>
      </c>
      <c r="B171" s="1" t="s">
        <v>12</v>
      </c>
      <c r="C171">
        <v>19</v>
      </c>
      <c r="D171" s="1" t="s">
        <v>20</v>
      </c>
      <c r="E171" s="1" t="s">
        <v>14</v>
      </c>
      <c r="F171" s="1" t="s">
        <v>214</v>
      </c>
      <c r="G171">
        <v>1</v>
      </c>
      <c r="H171" s="1" t="s">
        <v>47</v>
      </c>
      <c r="I171" s="2">
        <v>45307</v>
      </c>
      <c r="J171" s="3">
        <v>45367</v>
      </c>
      <c r="K171" s="1" t="s">
        <v>28</v>
      </c>
      <c r="L171" s="1" t="s">
        <v>34</v>
      </c>
      <c r="M171" s="1">
        <f t="shared" si="6"/>
        <v>60</v>
      </c>
      <c r="N171" s="1">
        <f t="shared" si="7"/>
        <v>1</v>
      </c>
      <c r="O171" s="8" t="str">
        <f t="shared" si="8"/>
        <v>18-25</v>
      </c>
    </row>
    <row r="172" spans="1:15" x14ac:dyDescent="0.3">
      <c r="A172">
        <v>1321</v>
      </c>
      <c r="B172" s="1" t="s">
        <v>40</v>
      </c>
      <c r="C172">
        <v>19</v>
      </c>
      <c r="D172" s="1" t="s">
        <v>20</v>
      </c>
      <c r="E172" s="1" t="s">
        <v>14</v>
      </c>
      <c r="F172" s="1" t="s">
        <v>215</v>
      </c>
      <c r="G172">
        <v>4</v>
      </c>
      <c r="H172" s="1" t="s">
        <v>16</v>
      </c>
      <c r="I172" s="2">
        <v>45339</v>
      </c>
      <c r="J172" s="3">
        <v>45327</v>
      </c>
      <c r="K172" s="1" t="s">
        <v>28</v>
      </c>
      <c r="L172" s="1" t="s">
        <v>29</v>
      </c>
      <c r="M172" s="1">
        <f t="shared" si="6"/>
        <v>-12</v>
      </c>
      <c r="N172" s="1">
        <f t="shared" si="7"/>
        <v>1</v>
      </c>
      <c r="O172" s="8" t="str">
        <f t="shared" si="8"/>
        <v>18-25</v>
      </c>
    </row>
    <row r="173" spans="1:15" x14ac:dyDescent="0.3">
      <c r="A173">
        <v>1372</v>
      </c>
      <c r="B173" s="1" t="s">
        <v>74</v>
      </c>
      <c r="C173">
        <v>22</v>
      </c>
      <c r="D173" s="1" t="s">
        <v>20</v>
      </c>
      <c r="E173" s="1" t="s">
        <v>37</v>
      </c>
      <c r="F173" s="1" t="s">
        <v>216</v>
      </c>
      <c r="G173">
        <v>1</v>
      </c>
      <c r="H173" s="1" t="s">
        <v>47</v>
      </c>
      <c r="I173" s="2">
        <v>45344</v>
      </c>
      <c r="J173" s="3">
        <v>45536</v>
      </c>
      <c r="K173" s="1" t="s">
        <v>28</v>
      </c>
      <c r="L173" s="1" t="s">
        <v>18</v>
      </c>
      <c r="M173" s="1">
        <f t="shared" si="6"/>
        <v>192</v>
      </c>
      <c r="N173" s="1">
        <f t="shared" si="7"/>
        <v>1</v>
      </c>
      <c r="O173" s="8" t="str">
        <f t="shared" si="8"/>
        <v>18-25</v>
      </c>
    </row>
    <row r="174" spans="1:15" x14ac:dyDescent="0.3">
      <c r="A174">
        <v>1254</v>
      </c>
      <c r="B174" s="1" t="s">
        <v>57</v>
      </c>
      <c r="C174">
        <v>22</v>
      </c>
      <c r="D174" s="1" t="s">
        <v>13</v>
      </c>
      <c r="E174" s="1" t="s">
        <v>14</v>
      </c>
      <c r="F174" s="1" t="s">
        <v>217</v>
      </c>
      <c r="G174">
        <v>2</v>
      </c>
      <c r="H174" s="1" t="s">
        <v>23</v>
      </c>
      <c r="I174" s="2">
        <v>45345</v>
      </c>
      <c r="J174" s="3">
        <v>45350</v>
      </c>
      <c r="K174" s="1" t="s">
        <v>49</v>
      </c>
      <c r="L174" s="1" t="s">
        <v>29</v>
      </c>
      <c r="M174" s="1">
        <f t="shared" si="6"/>
        <v>5</v>
      </c>
      <c r="N174" s="1">
        <f t="shared" si="7"/>
        <v>0</v>
      </c>
      <c r="O174" s="8" t="str">
        <f t="shared" si="8"/>
        <v>18-25</v>
      </c>
    </row>
    <row r="175" spans="1:15" x14ac:dyDescent="0.3">
      <c r="A175">
        <v>1460</v>
      </c>
      <c r="B175" s="1" t="s">
        <v>59</v>
      </c>
      <c r="C175">
        <v>18</v>
      </c>
      <c r="D175" s="1" t="s">
        <v>20</v>
      </c>
      <c r="E175" s="1" t="s">
        <v>26</v>
      </c>
      <c r="F175" s="1" t="s">
        <v>218</v>
      </c>
      <c r="G175">
        <v>4</v>
      </c>
      <c r="H175" s="1" t="s">
        <v>16</v>
      </c>
      <c r="I175" s="2">
        <v>45298</v>
      </c>
      <c r="J175" s="3">
        <v>45397</v>
      </c>
      <c r="K175" s="1" t="s">
        <v>31</v>
      </c>
      <c r="L175" s="1" t="s">
        <v>43</v>
      </c>
      <c r="M175" s="1">
        <f t="shared" si="6"/>
        <v>99</v>
      </c>
      <c r="N175" s="1">
        <f t="shared" si="7"/>
        <v>0</v>
      </c>
      <c r="O175" s="8" t="str">
        <f t="shared" si="8"/>
        <v>18-25</v>
      </c>
    </row>
    <row r="176" spans="1:15" x14ac:dyDescent="0.3">
      <c r="A176">
        <v>1323</v>
      </c>
      <c r="B176" s="1" t="s">
        <v>32</v>
      </c>
      <c r="C176">
        <v>19</v>
      </c>
      <c r="D176" s="1" t="s">
        <v>13</v>
      </c>
      <c r="E176" s="1" t="s">
        <v>26</v>
      </c>
      <c r="F176" s="1" t="s">
        <v>219</v>
      </c>
      <c r="G176">
        <v>1</v>
      </c>
      <c r="H176" s="1" t="s">
        <v>23</v>
      </c>
      <c r="I176" s="2">
        <v>45470</v>
      </c>
      <c r="J176" s="3">
        <v>45384</v>
      </c>
      <c r="K176" s="1" t="s">
        <v>28</v>
      </c>
      <c r="L176" s="1" t="s">
        <v>43</v>
      </c>
      <c r="M176" s="1">
        <f t="shared" si="6"/>
        <v>-86</v>
      </c>
      <c r="N176" s="1">
        <f t="shared" si="7"/>
        <v>1</v>
      </c>
      <c r="O176" s="8" t="str">
        <f t="shared" si="8"/>
        <v>18-25</v>
      </c>
    </row>
    <row r="177" spans="1:15" x14ac:dyDescent="0.3">
      <c r="A177">
        <v>1300</v>
      </c>
      <c r="B177" s="1" t="s">
        <v>74</v>
      </c>
      <c r="C177">
        <v>22</v>
      </c>
      <c r="D177" s="1" t="s">
        <v>13</v>
      </c>
      <c r="E177" s="1" t="s">
        <v>21</v>
      </c>
      <c r="F177" s="1" t="s">
        <v>220</v>
      </c>
      <c r="G177">
        <v>5</v>
      </c>
      <c r="H177" s="1" t="s">
        <v>16</v>
      </c>
      <c r="I177" s="2">
        <v>45360</v>
      </c>
      <c r="J177" s="3">
        <v>45454</v>
      </c>
      <c r="K177" s="1" t="s">
        <v>28</v>
      </c>
      <c r="L177" s="1" t="s">
        <v>56</v>
      </c>
      <c r="M177" s="1">
        <f t="shared" si="6"/>
        <v>94</v>
      </c>
      <c r="N177" s="1">
        <f t="shared" si="7"/>
        <v>1</v>
      </c>
      <c r="O177" s="8" t="str">
        <f t="shared" si="8"/>
        <v>18-25</v>
      </c>
    </row>
    <row r="178" spans="1:15" x14ac:dyDescent="0.3">
      <c r="A178">
        <v>1307</v>
      </c>
      <c r="B178" s="1" t="s">
        <v>32</v>
      </c>
      <c r="C178">
        <v>18</v>
      </c>
      <c r="D178" s="1" t="s">
        <v>20</v>
      </c>
      <c r="E178" s="1" t="s">
        <v>26</v>
      </c>
      <c r="F178" s="1" t="s">
        <v>221</v>
      </c>
      <c r="G178">
        <v>1</v>
      </c>
      <c r="H178" s="1" t="s">
        <v>16</v>
      </c>
      <c r="I178" s="2">
        <v>45403</v>
      </c>
      <c r="J178" s="3">
        <v>45295</v>
      </c>
      <c r="K178" s="1" t="s">
        <v>28</v>
      </c>
      <c r="L178" s="1" t="s">
        <v>43</v>
      </c>
      <c r="M178" s="1">
        <f t="shared" si="6"/>
        <v>-108</v>
      </c>
      <c r="N178" s="1">
        <f t="shared" si="7"/>
        <v>1</v>
      </c>
      <c r="O178" s="8" t="str">
        <f t="shared" si="8"/>
        <v>18-25</v>
      </c>
    </row>
    <row r="179" spans="1:15" x14ac:dyDescent="0.3">
      <c r="A179">
        <v>1135</v>
      </c>
      <c r="B179" s="1" t="s">
        <v>59</v>
      </c>
      <c r="C179">
        <v>25</v>
      </c>
      <c r="D179" s="1" t="s">
        <v>13</v>
      </c>
      <c r="E179" s="1" t="s">
        <v>21</v>
      </c>
      <c r="F179" s="1" t="s">
        <v>222</v>
      </c>
      <c r="G179">
        <v>4</v>
      </c>
      <c r="H179" s="1" t="s">
        <v>47</v>
      </c>
      <c r="I179" s="2">
        <v>45339</v>
      </c>
      <c r="J179" s="3">
        <v>45365</v>
      </c>
      <c r="K179" s="1" t="s">
        <v>49</v>
      </c>
      <c r="L179" s="1" t="s">
        <v>43</v>
      </c>
      <c r="M179" s="1">
        <f t="shared" si="6"/>
        <v>26</v>
      </c>
      <c r="N179" s="1">
        <f t="shared" si="7"/>
        <v>0</v>
      </c>
      <c r="O179" s="8" t="str">
        <f t="shared" si="8"/>
        <v>18-25</v>
      </c>
    </row>
    <row r="180" spans="1:15" x14ac:dyDescent="0.3">
      <c r="A180">
        <v>1486</v>
      </c>
      <c r="B180" s="1" t="s">
        <v>19</v>
      </c>
      <c r="C180">
        <v>30</v>
      </c>
      <c r="D180" s="1" t="s">
        <v>20</v>
      </c>
      <c r="E180" s="1" t="s">
        <v>37</v>
      </c>
      <c r="F180" s="1" t="s">
        <v>223</v>
      </c>
      <c r="G180">
        <v>5</v>
      </c>
      <c r="H180" s="1" t="s">
        <v>23</v>
      </c>
      <c r="I180" s="2">
        <v>45429</v>
      </c>
      <c r="J180" s="3">
        <v>45465</v>
      </c>
      <c r="K180" s="1" t="s">
        <v>31</v>
      </c>
      <c r="L180" s="1" t="s">
        <v>36</v>
      </c>
      <c r="M180" s="1">
        <f t="shared" si="6"/>
        <v>36</v>
      </c>
      <c r="N180" s="1">
        <f t="shared" si="7"/>
        <v>0</v>
      </c>
      <c r="O180" s="8" t="str">
        <f t="shared" si="8"/>
        <v>26-35</v>
      </c>
    </row>
    <row r="181" spans="1:15" x14ac:dyDescent="0.3">
      <c r="A181">
        <v>1088</v>
      </c>
      <c r="B181" s="1" t="s">
        <v>53</v>
      </c>
      <c r="C181">
        <v>23</v>
      </c>
      <c r="D181" s="1" t="s">
        <v>13</v>
      </c>
      <c r="E181" s="1" t="s">
        <v>14</v>
      </c>
      <c r="F181" s="1" t="s">
        <v>224</v>
      </c>
      <c r="G181">
        <v>4</v>
      </c>
      <c r="H181" s="1" t="s">
        <v>16</v>
      </c>
      <c r="I181" s="2">
        <v>45297</v>
      </c>
      <c r="J181" s="3">
        <v>45632</v>
      </c>
      <c r="K181" s="1" t="s">
        <v>49</v>
      </c>
      <c r="L181" s="1" t="s">
        <v>24</v>
      </c>
      <c r="M181" s="1">
        <f t="shared" si="6"/>
        <v>335</v>
      </c>
      <c r="N181" s="1">
        <f t="shared" si="7"/>
        <v>0</v>
      </c>
      <c r="O181" s="8" t="str">
        <f t="shared" si="8"/>
        <v>18-25</v>
      </c>
    </row>
    <row r="182" spans="1:15" x14ac:dyDescent="0.3">
      <c r="A182">
        <v>1454</v>
      </c>
      <c r="B182" s="1" t="s">
        <v>74</v>
      </c>
      <c r="C182">
        <v>22</v>
      </c>
      <c r="D182" s="1" t="s">
        <v>20</v>
      </c>
      <c r="E182" s="1" t="s">
        <v>21</v>
      </c>
      <c r="F182" s="1" t="s">
        <v>225</v>
      </c>
      <c r="G182">
        <v>4</v>
      </c>
      <c r="H182" s="1" t="s">
        <v>23</v>
      </c>
      <c r="I182" s="2">
        <v>45376</v>
      </c>
      <c r="J182" s="3">
        <v>45372</v>
      </c>
      <c r="K182" s="1" t="s">
        <v>17</v>
      </c>
      <c r="L182" s="1" t="s">
        <v>18</v>
      </c>
      <c r="M182" s="1">
        <f t="shared" si="6"/>
        <v>-4</v>
      </c>
      <c r="N182" s="1">
        <f t="shared" si="7"/>
        <v>0</v>
      </c>
      <c r="O182" s="8" t="str">
        <f t="shared" si="8"/>
        <v>18-25</v>
      </c>
    </row>
    <row r="183" spans="1:15" x14ac:dyDescent="0.3">
      <c r="A183">
        <v>1141</v>
      </c>
      <c r="B183" s="1" t="s">
        <v>64</v>
      </c>
      <c r="C183">
        <v>25</v>
      </c>
      <c r="D183" s="1" t="s">
        <v>13</v>
      </c>
      <c r="E183" s="1" t="s">
        <v>21</v>
      </c>
      <c r="F183" s="1" t="s">
        <v>226</v>
      </c>
      <c r="G183">
        <v>1</v>
      </c>
      <c r="H183" s="1" t="s">
        <v>23</v>
      </c>
      <c r="I183" s="2">
        <v>45311</v>
      </c>
      <c r="J183" s="3">
        <v>45376</v>
      </c>
      <c r="K183" s="1" t="s">
        <v>17</v>
      </c>
      <c r="L183" s="1" t="s">
        <v>29</v>
      </c>
      <c r="M183" s="1">
        <f t="shared" si="6"/>
        <v>65</v>
      </c>
      <c r="N183" s="1">
        <f t="shared" si="7"/>
        <v>0</v>
      </c>
      <c r="O183" s="8" t="str">
        <f t="shared" si="8"/>
        <v>18-25</v>
      </c>
    </row>
    <row r="184" spans="1:15" x14ac:dyDescent="0.3">
      <c r="A184">
        <v>1412</v>
      </c>
      <c r="B184" s="1" t="s">
        <v>32</v>
      </c>
      <c r="C184">
        <v>20</v>
      </c>
      <c r="D184" s="1" t="s">
        <v>13</v>
      </c>
      <c r="E184" s="1" t="s">
        <v>37</v>
      </c>
      <c r="F184" s="1" t="s">
        <v>227</v>
      </c>
      <c r="G184">
        <v>1</v>
      </c>
      <c r="H184" s="1" t="s">
        <v>47</v>
      </c>
      <c r="I184" s="2">
        <v>45354</v>
      </c>
      <c r="J184" s="3">
        <v>45370</v>
      </c>
      <c r="K184" s="1" t="s">
        <v>31</v>
      </c>
      <c r="L184" s="1" t="s">
        <v>56</v>
      </c>
      <c r="M184" s="1">
        <f t="shared" si="6"/>
        <v>16</v>
      </c>
      <c r="N184" s="1">
        <f t="shared" si="7"/>
        <v>0</v>
      </c>
      <c r="O184" s="8" t="str">
        <f t="shared" si="8"/>
        <v>18-25</v>
      </c>
    </row>
    <row r="185" spans="1:15" x14ac:dyDescent="0.3">
      <c r="A185">
        <v>1364</v>
      </c>
      <c r="B185" s="1" t="s">
        <v>71</v>
      </c>
      <c r="C185">
        <v>40</v>
      </c>
      <c r="D185" s="1" t="s">
        <v>20</v>
      </c>
      <c r="E185" s="1" t="s">
        <v>37</v>
      </c>
      <c r="F185" s="1" t="s">
        <v>228</v>
      </c>
      <c r="G185">
        <v>5</v>
      </c>
      <c r="H185" s="1" t="s">
        <v>23</v>
      </c>
      <c r="I185" s="2">
        <v>45395</v>
      </c>
      <c r="J185" s="3">
        <v>45305</v>
      </c>
      <c r="K185" s="1" t="s">
        <v>31</v>
      </c>
      <c r="L185" s="1" t="s">
        <v>51</v>
      </c>
      <c r="M185" s="1">
        <f t="shared" si="6"/>
        <v>-90</v>
      </c>
      <c r="N185" s="1">
        <f t="shared" si="7"/>
        <v>0</v>
      </c>
      <c r="O185" s="8" t="str">
        <f t="shared" si="8"/>
        <v>36-50</v>
      </c>
    </row>
    <row r="186" spans="1:15" x14ac:dyDescent="0.3">
      <c r="A186">
        <v>1319</v>
      </c>
      <c r="B186" s="1" t="s">
        <v>71</v>
      </c>
      <c r="C186">
        <v>23</v>
      </c>
      <c r="D186" s="1" t="s">
        <v>13</v>
      </c>
      <c r="E186" s="1" t="s">
        <v>26</v>
      </c>
      <c r="F186" s="1" t="s">
        <v>229</v>
      </c>
      <c r="G186">
        <v>5</v>
      </c>
      <c r="H186" s="1" t="s">
        <v>16</v>
      </c>
      <c r="I186" s="2">
        <v>45333</v>
      </c>
      <c r="J186" s="3">
        <v>45447</v>
      </c>
      <c r="K186" s="1" t="s">
        <v>31</v>
      </c>
      <c r="L186" s="1" t="s">
        <v>34</v>
      </c>
      <c r="M186" s="1">
        <f t="shared" si="6"/>
        <v>114</v>
      </c>
      <c r="N186" s="1">
        <f t="shared" si="7"/>
        <v>0</v>
      </c>
      <c r="O186" s="8" t="str">
        <f t="shared" si="8"/>
        <v>18-25</v>
      </c>
    </row>
    <row r="187" spans="1:15" x14ac:dyDescent="0.3">
      <c r="A187">
        <v>1340</v>
      </c>
      <c r="B187" s="1" t="s">
        <v>59</v>
      </c>
      <c r="C187">
        <v>23</v>
      </c>
      <c r="D187" s="1" t="s">
        <v>20</v>
      </c>
      <c r="E187" s="1" t="s">
        <v>37</v>
      </c>
      <c r="F187" s="1" t="s">
        <v>230</v>
      </c>
      <c r="G187">
        <v>1</v>
      </c>
      <c r="H187" s="1" t="s">
        <v>23</v>
      </c>
      <c r="I187" s="2">
        <v>45379</v>
      </c>
      <c r="J187" s="3">
        <v>45335</v>
      </c>
      <c r="K187" s="1" t="s">
        <v>31</v>
      </c>
      <c r="L187" s="1" t="s">
        <v>51</v>
      </c>
      <c r="M187" s="1">
        <f t="shared" si="6"/>
        <v>-44</v>
      </c>
      <c r="N187" s="1">
        <f t="shared" si="7"/>
        <v>0</v>
      </c>
      <c r="O187" s="8" t="str">
        <f t="shared" si="8"/>
        <v>18-25</v>
      </c>
    </row>
    <row r="188" spans="1:15" x14ac:dyDescent="0.3">
      <c r="A188">
        <v>1420</v>
      </c>
      <c r="B188" s="1" t="s">
        <v>71</v>
      </c>
      <c r="C188">
        <v>22</v>
      </c>
      <c r="D188" s="1" t="s">
        <v>13</v>
      </c>
      <c r="E188" s="1" t="s">
        <v>37</v>
      </c>
      <c r="F188" s="1" t="s">
        <v>231</v>
      </c>
      <c r="G188">
        <v>2</v>
      </c>
      <c r="H188" s="1" t="s">
        <v>16</v>
      </c>
      <c r="I188" s="2">
        <v>45440</v>
      </c>
      <c r="J188" s="3">
        <v>45425</v>
      </c>
      <c r="K188" s="1" t="s">
        <v>28</v>
      </c>
      <c r="L188" s="1" t="s">
        <v>24</v>
      </c>
      <c r="M188" s="1">
        <f t="shared" si="6"/>
        <v>-15</v>
      </c>
      <c r="N188" s="1">
        <f t="shared" si="7"/>
        <v>1</v>
      </c>
      <c r="O188" s="8" t="str">
        <f t="shared" si="8"/>
        <v>18-25</v>
      </c>
    </row>
    <row r="189" spans="1:15" x14ac:dyDescent="0.3">
      <c r="A189">
        <v>1119</v>
      </c>
      <c r="B189" s="1" t="s">
        <v>25</v>
      </c>
      <c r="C189">
        <v>20</v>
      </c>
      <c r="D189" s="1" t="s">
        <v>20</v>
      </c>
      <c r="E189" s="1" t="s">
        <v>21</v>
      </c>
      <c r="F189" s="1" t="s">
        <v>232</v>
      </c>
      <c r="G189">
        <v>4</v>
      </c>
      <c r="H189" s="1" t="s">
        <v>16</v>
      </c>
      <c r="I189" s="2">
        <v>45367</v>
      </c>
      <c r="J189" s="3">
        <v>45318</v>
      </c>
      <c r="K189" s="1" t="s">
        <v>17</v>
      </c>
      <c r="L189" s="1" t="s">
        <v>24</v>
      </c>
      <c r="M189" s="1">
        <f t="shared" si="6"/>
        <v>-49</v>
      </c>
      <c r="N189" s="1">
        <f t="shared" si="7"/>
        <v>0</v>
      </c>
      <c r="O189" s="8" t="str">
        <f t="shared" si="8"/>
        <v>18-25</v>
      </c>
    </row>
    <row r="190" spans="1:15" x14ac:dyDescent="0.3">
      <c r="A190">
        <v>1496</v>
      </c>
      <c r="B190" s="1" t="s">
        <v>12</v>
      </c>
      <c r="C190">
        <v>24</v>
      </c>
      <c r="D190" s="1" t="s">
        <v>13</v>
      </c>
      <c r="E190" s="1" t="s">
        <v>21</v>
      </c>
      <c r="F190" s="1" t="s">
        <v>233</v>
      </c>
      <c r="G190">
        <v>2</v>
      </c>
      <c r="H190" s="1" t="s">
        <v>47</v>
      </c>
      <c r="I190" s="2">
        <v>45313</v>
      </c>
      <c r="J190" s="3">
        <v>45388</v>
      </c>
      <c r="K190" s="1" t="s">
        <v>28</v>
      </c>
      <c r="L190" s="1" t="s">
        <v>36</v>
      </c>
      <c r="M190" s="1">
        <f t="shared" si="6"/>
        <v>75</v>
      </c>
      <c r="N190" s="1">
        <f t="shared" si="7"/>
        <v>1</v>
      </c>
      <c r="O190" s="8" t="str">
        <f t="shared" si="8"/>
        <v>18-25</v>
      </c>
    </row>
    <row r="191" spans="1:15" x14ac:dyDescent="0.3">
      <c r="A191">
        <v>1480</v>
      </c>
      <c r="B191" s="1" t="s">
        <v>59</v>
      </c>
      <c r="C191">
        <v>22</v>
      </c>
      <c r="D191" s="1" t="s">
        <v>13</v>
      </c>
      <c r="E191" s="1" t="s">
        <v>26</v>
      </c>
      <c r="F191" s="1" t="s">
        <v>234</v>
      </c>
      <c r="G191">
        <v>4</v>
      </c>
      <c r="H191" s="1" t="s">
        <v>23</v>
      </c>
      <c r="I191" s="2">
        <v>45432</v>
      </c>
      <c r="J191" s="3">
        <v>45329</v>
      </c>
      <c r="K191" s="1" t="s">
        <v>28</v>
      </c>
      <c r="L191" s="1" t="s">
        <v>18</v>
      </c>
      <c r="M191" s="1">
        <f t="shared" si="6"/>
        <v>-103</v>
      </c>
      <c r="N191" s="1">
        <f t="shared" si="7"/>
        <v>1</v>
      </c>
      <c r="O191" s="8" t="str">
        <f t="shared" si="8"/>
        <v>18-25</v>
      </c>
    </row>
    <row r="192" spans="1:15" x14ac:dyDescent="0.3">
      <c r="A192">
        <v>1377</v>
      </c>
      <c r="B192" s="1" t="s">
        <v>71</v>
      </c>
      <c r="C192">
        <v>25</v>
      </c>
      <c r="D192" s="1" t="s">
        <v>13</v>
      </c>
      <c r="E192" s="1" t="s">
        <v>21</v>
      </c>
      <c r="F192" s="1" t="s">
        <v>235</v>
      </c>
      <c r="G192">
        <v>2</v>
      </c>
      <c r="H192" s="1" t="s">
        <v>23</v>
      </c>
      <c r="I192" s="2">
        <v>45404</v>
      </c>
      <c r="J192" s="3">
        <v>45541</v>
      </c>
      <c r="K192" s="1" t="s">
        <v>28</v>
      </c>
      <c r="L192" s="1" t="s">
        <v>24</v>
      </c>
      <c r="M192" s="1">
        <f t="shared" si="6"/>
        <v>137</v>
      </c>
      <c r="N192" s="1">
        <f t="shared" si="7"/>
        <v>1</v>
      </c>
      <c r="O192" s="8" t="str">
        <f t="shared" si="8"/>
        <v>18-25</v>
      </c>
    </row>
    <row r="193" spans="1:15" x14ac:dyDescent="0.3">
      <c r="A193">
        <v>1424</v>
      </c>
      <c r="B193" s="1" t="s">
        <v>40</v>
      </c>
      <c r="C193">
        <v>22</v>
      </c>
      <c r="D193" s="1" t="s">
        <v>20</v>
      </c>
      <c r="E193" s="1" t="s">
        <v>14</v>
      </c>
      <c r="F193" s="1" t="s">
        <v>236</v>
      </c>
      <c r="G193">
        <v>5</v>
      </c>
      <c r="H193" s="1" t="s">
        <v>47</v>
      </c>
      <c r="I193" s="2">
        <v>45310</v>
      </c>
      <c r="J193" s="3">
        <v>45383</v>
      </c>
      <c r="K193" s="1" t="s">
        <v>17</v>
      </c>
      <c r="L193" s="1" t="s">
        <v>56</v>
      </c>
      <c r="M193" s="1">
        <f t="shared" si="6"/>
        <v>73</v>
      </c>
      <c r="N193" s="1">
        <f t="shared" si="7"/>
        <v>0</v>
      </c>
      <c r="O193" s="8" t="str">
        <f t="shared" si="8"/>
        <v>18-25</v>
      </c>
    </row>
    <row r="194" spans="1:15" x14ac:dyDescent="0.3">
      <c r="A194">
        <v>1472</v>
      </c>
      <c r="B194" s="1" t="s">
        <v>19</v>
      </c>
      <c r="C194">
        <v>22</v>
      </c>
      <c r="D194" s="1" t="s">
        <v>13</v>
      </c>
      <c r="E194" s="1" t="s">
        <v>37</v>
      </c>
      <c r="F194" s="1" t="s">
        <v>237</v>
      </c>
      <c r="G194">
        <v>4</v>
      </c>
      <c r="H194" s="1" t="s">
        <v>47</v>
      </c>
      <c r="I194" s="2">
        <v>45324</v>
      </c>
      <c r="J194" s="3">
        <v>45366</v>
      </c>
      <c r="K194" s="1" t="s">
        <v>17</v>
      </c>
      <c r="L194" s="1" t="s">
        <v>43</v>
      </c>
      <c r="M194" s="1">
        <f t="shared" ref="M194:M250" si="9">J194-I194</f>
        <v>42</v>
      </c>
      <c r="N194" s="1">
        <f t="shared" ref="N194:N250" si="10">IF(K194="Active",1,0)</f>
        <v>0</v>
      </c>
      <c r="O194" s="8" t="str">
        <f t="shared" ref="O194:O250" si="11">IF(AND(C194&gt;=18,C194&lt;=25),"18-25",
IF(AND(C194&gt;=26,C194&lt;=35),"26-35",
IF(AND(C194&gt;=36,C194&lt;=50),"36-50",
IF(C194&gt;=51,"51+",""))))</f>
        <v>18-25</v>
      </c>
    </row>
    <row r="195" spans="1:15" x14ac:dyDescent="0.3">
      <c r="A195">
        <v>1372</v>
      </c>
      <c r="B195" s="1" t="s">
        <v>59</v>
      </c>
      <c r="C195">
        <v>39</v>
      </c>
      <c r="D195" s="1" t="s">
        <v>20</v>
      </c>
      <c r="E195" s="1" t="s">
        <v>21</v>
      </c>
      <c r="F195" s="1" t="s">
        <v>238</v>
      </c>
      <c r="G195">
        <v>2</v>
      </c>
      <c r="H195" s="1" t="s">
        <v>47</v>
      </c>
      <c r="I195" s="2">
        <v>45343</v>
      </c>
      <c r="J195" s="3">
        <v>45308</v>
      </c>
      <c r="K195" s="1" t="s">
        <v>28</v>
      </c>
      <c r="L195" s="1" t="s">
        <v>43</v>
      </c>
      <c r="M195" s="1">
        <f t="shared" si="9"/>
        <v>-35</v>
      </c>
      <c r="N195" s="1">
        <f t="shared" si="10"/>
        <v>1</v>
      </c>
      <c r="O195" s="8" t="str">
        <f t="shared" si="11"/>
        <v>36-50</v>
      </c>
    </row>
    <row r="196" spans="1:15" x14ac:dyDescent="0.3">
      <c r="A196">
        <v>1250</v>
      </c>
      <c r="B196" s="1" t="s">
        <v>32</v>
      </c>
      <c r="C196">
        <v>26</v>
      </c>
      <c r="D196" s="1" t="s">
        <v>20</v>
      </c>
      <c r="E196" s="1" t="s">
        <v>21</v>
      </c>
      <c r="F196" s="1" t="s">
        <v>239</v>
      </c>
      <c r="G196">
        <v>3</v>
      </c>
      <c r="H196" s="1" t="s">
        <v>16</v>
      </c>
      <c r="I196" s="2">
        <v>45312</v>
      </c>
      <c r="J196" s="3">
        <v>45357</v>
      </c>
      <c r="K196" s="1" t="s">
        <v>31</v>
      </c>
      <c r="L196" s="1" t="s">
        <v>34</v>
      </c>
      <c r="M196" s="1">
        <f t="shared" si="9"/>
        <v>45</v>
      </c>
      <c r="N196" s="1">
        <f t="shared" si="10"/>
        <v>0</v>
      </c>
      <c r="O196" s="8" t="str">
        <f t="shared" si="11"/>
        <v>26-35</v>
      </c>
    </row>
    <row r="197" spans="1:15" x14ac:dyDescent="0.3">
      <c r="A197">
        <v>1447</v>
      </c>
      <c r="B197" s="1" t="s">
        <v>19</v>
      </c>
      <c r="C197">
        <v>22</v>
      </c>
      <c r="D197" s="1" t="s">
        <v>20</v>
      </c>
      <c r="E197" s="1" t="s">
        <v>21</v>
      </c>
      <c r="F197" s="1" t="s">
        <v>240</v>
      </c>
      <c r="G197">
        <v>5</v>
      </c>
      <c r="H197" s="1" t="s">
        <v>47</v>
      </c>
      <c r="I197" s="2">
        <v>45378</v>
      </c>
      <c r="J197" s="3">
        <v>45326</v>
      </c>
      <c r="K197" s="1" t="s">
        <v>31</v>
      </c>
      <c r="L197" s="1" t="s">
        <v>36</v>
      </c>
      <c r="M197" s="1">
        <f t="shared" si="9"/>
        <v>-52</v>
      </c>
      <c r="N197" s="1">
        <f t="shared" si="10"/>
        <v>0</v>
      </c>
      <c r="O197" s="8" t="str">
        <f t="shared" si="11"/>
        <v>18-25</v>
      </c>
    </row>
    <row r="198" spans="1:15" x14ac:dyDescent="0.3">
      <c r="A198">
        <v>1058</v>
      </c>
      <c r="B198" s="1" t="s">
        <v>25</v>
      </c>
      <c r="C198">
        <v>24</v>
      </c>
      <c r="D198" s="1" t="s">
        <v>20</v>
      </c>
      <c r="E198" s="1" t="s">
        <v>21</v>
      </c>
      <c r="F198" s="1" t="s">
        <v>241</v>
      </c>
      <c r="G198">
        <v>4</v>
      </c>
      <c r="H198" s="1" t="s">
        <v>47</v>
      </c>
      <c r="I198" s="2">
        <v>45318</v>
      </c>
      <c r="J198" s="3">
        <v>45314</v>
      </c>
      <c r="K198" s="1" t="s">
        <v>17</v>
      </c>
      <c r="L198" s="1" t="s">
        <v>51</v>
      </c>
      <c r="M198" s="1">
        <f t="shared" si="9"/>
        <v>-4</v>
      </c>
      <c r="N198" s="1">
        <f t="shared" si="10"/>
        <v>0</v>
      </c>
      <c r="O198" s="8" t="str">
        <f t="shared" si="11"/>
        <v>18-25</v>
      </c>
    </row>
    <row r="199" spans="1:15" x14ac:dyDescent="0.3">
      <c r="A199">
        <v>1077</v>
      </c>
      <c r="B199" s="1" t="s">
        <v>59</v>
      </c>
      <c r="C199">
        <v>25</v>
      </c>
      <c r="D199" s="1" t="s">
        <v>20</v>
      </c>
      <c r="E199" s="1" t="s">
        <v>26</v>
      </c>
      <c r="F199" s="1" t="s">
        <v>242</v>
      </c>
      <c r="G199">
        <v>3</v>
      </c>
      <c r="H199" s="1" t="s">
        <v>23</v>
      </c>
      <c r="I199" s="2">
        <v>45385</v>
      </c>
      <c r="J199" s="3">
        <v>45354</v>
      </c>
      <c r="K199" s="1" t="s">
        <v>17</v>
      </c>
      <c r="L199" s="1" t="s">
        <v>43</v>
      </c>
      <c r="M199" s="1">
        <f t="shared" si="9"/>
        <v>-31</v>
      </c>
      <c r="N199" s="1">
        <f t="shared" si="10"/>
        <v>0</v>
      </c>
      <c r="O199" s="8" t="str">
        <f t="shared" si="11"/>
        <v>18-25</v>
      </c>
    </row>
    <row r="200" spans="1:15" x14ac:dyDescent="0.3">
      <c r="A200">
        <v>1008</v>
      </c>
      <c r="B200" s="1" t="s">
        <v>12</v>
      </c>
      <c r="C200">
        <v>40</v>
      </c>
      <c r="D200" s="1" t="s">
        <v>20</v>
      </c>
      <c r="E200" s="1" t="s">
        <v>26</v>
      </c>
      <c r="F200" s="1" t="s">
        <v>243</v>
      </c>
      <c r="G200">
        <v>2</v>
      </c>
      <c r="H200" s="1" t="s">
        <v>23</v>
      </c>
      <c r="I200" s="2">
        <v>45398</v>
      </c>
      <c r="J200" s="3">
        <v>45429</v>
      </c>
      <c r="K200" s="1" t="s">
        <v>28</v>
      </c>
      <c r="L200" s="1" t="s">
        <v>56</v>
      </c>
      <c r="M200" s="1">
        <f t="shared" si="9"/>
        <v>31</v>
      </c>
      <c r="N200" s="1">
        <f t="shared" si="10"/>
        <v>1</v>
      </c>
      <c r="O200" s="8" t="str">
        <f t="shared" si="11"/>
        <v>36-50</v>
      </c>
    </row>
    <row r="201" spans="1:15" x14ac:dyDescent="0.3">
      <c r="A201">
        <v>1206</v>
      </c>
      <c r="B201" s="1" t="s">
        <v>25</v>
      </c>
      <c r="C201">
        <v>22</v>
      </c>
      <c r="D201" s="1" t="s">
        <v>20</v>
      </c>
      <c r="E201" s="1" t="s">
        <v>21</v>
      </c>
      <c r="F201" s="1" t="s">
        <v>244</v>
      </c>
      <c r="G201">
        <v>5</v>
      </c>
      <c r="H201" s="1" t="s">
        <v>47</v>
      </c>
      <c r="I201" s="2">
        <v>45438</v>
      </c>
      <c r="J201" s="3">
        <v>45372</v>
      </c>
      <c r="K201" s="1" t="s">
        <v>31</v>
      </c>
      <c r="L201" s="1" t="s">
        <v>43</v>
      </c>
      <c r="M201" s="1">
        <f t="shared" si="9"/>
        <v>-66</v>
      </c>
      <c r="N201" s="1">
        <f t="shared" si="10"/>
        <v>0</v>
      </c>
      <c r="O201" s="8" t="str">
        <f t="shared" si="11"/>
        <v>18-25</v>
      </c>
    </row>
    <row r="202" spans="1:15" x14ac:dyDescent="0.3">
      <c r="A202">
        <v>1390</v>
      </c>
      <c r="B202" s="1" t="s">
        <v>53</v>
      </c>
      <c r="C202">
        <v>26</v>
      </c>
      <c r="D202" s="1" t="s">
        <v>20</v>
      </c>
      <c r="E202" s="1" t="s">
        <v>21</v>
      </c>
      <c r="F202" s="1" t="s">
        <v>245</v>
      </c>
      <c r="G202">
        <v>5</v>
      </c>
      <c r="H202" s="1" t="s">
        <v>23</v>
      </c>
      <c r="I202" s="2">
        <v>45398</v>
      </c>
      <c r="J202" s="3">
        <v>45301</v>
      </c>
      <c r="K202" s="1" t="s">
        <v>28</v>
      </c>
      <c r="L202" s="1" t="s">
        <v>51</v>
      </c>
      <c r="M202" s="1">
        <f t="shared" si="9"/>
        <v>-97</v>
      </c>
      <c r="N202" s="1">
        <f t="shared" si="10"/>
        <v>1</v>
      </c>
      <c r="O202" s="8" t="str">
        <f t="shared" si="11"/>
        <v>26-35</v>
      </c>
    </row>
    <row r="203" spans="1:15" x14ac:dyDescent="0.3">
      <c r="A203">
        <v>1065</v>
      </c>
      <c r="B203" s="1" t="s">
        <v>25</v>
      </c>
      <c r="C203">
        <v>19</v>
      </c>
      <c r="D203" s="1" t="s">
        <v>20</v>
      </c>
      <c r="E203" s="1" t="s">
        <v>14</v>
      </c>
      <c r="F203" s="1" t="s">
        <v>246</v>
      </c>
      <c r="G203">
        <v>2</v>
      </c>
      <c r="H203" s="1" t="s">
        <v>16</v>
      </c>
      <c r="I203" s="2">
        <v>45387</v>
      </c>
      <c r="J203" s="3">
        <v>45310</v>
      </c>
      <c r="K203" s="1" t="s">
        <v>28</v>
      </c>
      <c r="L203" s="1" t="s">
        <v>43</v>
      </c>
      <c r="M203" s="1">
        <f t="shared" si="9"/>
        <v>-77</v>
      </c>
      <c r="N203" s="1">
        <f t="shared" si="10"/>
        <v>1</v>
      </c>
      <c r="O203" s="8" t="str">
        <f t="shared" si="11"/>
        <v>18-25</v>
      </c>
    </row>
    <row r="204" spans="1:15" x14ac:dyDescent="0.3">
      <c r="A204">
        <v>1222</v>
      </c>
      <c r="B204" s="1" t="s">
        <v>64</v>
      </c>
      <c r="C204">
        <v>40</v>
      </c>
      <c r="D204" s="1" t="s">
        <v>13</v>
      </c>
      <c r="E204" s="1" t="s">
        <v>14</v>
      </c>
      <c r="F204" s="1" t="s">
        <v>247</v>
      </c>
      <c r="G204">
        <v>4</v>
      </c>
      <c r="H204" s="1" t="s">
        <v>23</v>
      </c>
      <c r="I204" s="2">
        <v>45301</v>
      </c>
      <c r="J204" s="3">
        <v>45370</v>
      </c>
      <c r="K204" s="1" t="s">
        <v>28</v>
      </c>
      <c r="L204" s="1" t="s">
        <v>56</v>
      </c>
      <c r="M204" s="1">
        <f t="shared" si="9"/>
        <v>69</v>
      </c>
      <c r="N204" s="1">
        <f t="shared" si="10"/>
        <v>1</v>
      </c>
      <c r="O204" s="8" t="str">
        <f t="shared" si="11"/>
        <v>36-50</v>
      </c>
    </row>
    <row r="205" spans="1:15" x14ac:dyDescent="0.3">
      <c r="A205">
        <v>1198</v>
      </c>
      <c r="B205" s="1" t="s">
        <v>57</v>
      </c>
      <c r="C205">
        <v>22</v>
      </c>
      <c r="D205" s="1" t="s">
        <v>13</v>
      </c>
      <c r="E205" s="1" t="s">
        <v>26</v>
      </c>
      <c r="F205" s="1" t="s">
        <v>248</v>
      </c>
      <c r="G205">
        <v>1</v>
      </c>
      <c r="H205" s="1" t="s">
        <v>47</v>
      </c>
      <c r="I205" s="2">
        <v>45344</v>
      </c>
      <c r="J205" s="3">
        <v>45295</v>
      </c>
      <c r="K205" s="1" t="s">
        <v>17</v>
      </c>
      <c r="L205" s="1" t="s">
        <v>34</v>
      </c>
      <c r="M205" s="1">
        <f t="shared" si="9"/>
        <v>-49</v>
      </c>
      <c r="N205" s="1">
        <f t="shared" si="10"/>
        <v>0</v>
      </c>
      <c r="O205" s="8" t="str">
        <f t="shared" si="11"/>
        <v>18-25</v>
      </c>
    </row>
    <row r="206" spans="1:15" x14ac:dyDescent="0.3">
      <c r="A206">
        <v>1040</v>
      </c>
      <c r="B206" s="1" t="s">
        <v>59</v>
      </c>
      <c r="C206">
        <v>40</v>
      </c>
      <c r="D206" s="1" t="s">
        <v>13</v>
      </c>
      <c r="E206" s="1" t="s">
        <v>37</v>
      </c>
      <c r="F206" s="1" t="s">
        <v>249</v>
      </c>
      <c r="G206">
        <v>4</v>
      </c>
      <c r="H206" s="1" t="s">
        <v>23</v>
      </c>
      <c r="I206" s="2">
        <v>45404</v>
      </c>
      <c r="J206" s="3">
        <v>45385</v>
      </c>
      <c r="K206" s="1" t="s">
        <v>28</v>
      </c>
      <c r="L206" s="1" t="s">
        <v>56</v>
      </c>
      <c r="M206" s="1">
        <f t="shared" si="9"/>
        <v>-19</v>
      </c>
      <c r="N206" s="1">
        <f t="shared" si="10"/>
        <v>1</v>
      </c>
      <c r="O206" s="8" t="str">
        <f t="shared" si="11"/>
        <v>36-50</v>
      </c>
    </row>
    <row r="207" spans="1:15" x14ac:dyDescent="0.3">
      <c r="A207">
        <v>1375</v>
      </c>
      <c r="B207" s="1" t="s">
        <v>40</v>
      </c>
      <c r="C207">
        <v>19</v>
      </c>
      <c r="D207" s="1" t="s">
        <v>13</v>
      </c>
      <c r="E207" s="1" t="s">
        <v>26</v>
      </c>
      <c r="F207" s="1" t="s">
        <v>250</v>
      </c>
      <c r="G207">
        <v>1</v>
      </c>
      <c r="H207" s="1" t="s">
        <v>16</v>
      </c>
      <c r="I207" s="2">
        <v>45475</v>
      </c>
      <c r="J207" s="3">
        <v>45339</v>
      </c>
      <c r="K207" s="1" t="s">
        <v>28</v>
      </c>
      <c r="L207" s="1" t="s">
        <v>43</v>
      </c>
      <c r="M207" s="1">
        <f t="shared" si="9"/>
        <v>-136</v>
      </c>
      <c r="N207" s="1">
        <f t="shared" si="10"/>
        <v>1</v>
      </c>
      <c r="O207" s="8" t="str">
        <f t="shared" si="11"/>
        <v>18-25</v>
      </c>
    </row>
    <row r="208" spans="1:15" x14ac:dyDescent="0.3">
      <c r="A208">
        <v>1458</v>
      </c>
      <c r="B208" s="1" t="s">
        <v>19</v>
      </c>
      <c r="C208">
        <v>40</v>
      </c>
      <c r="D208" s="1" t="s">
        <v>13</v>
      </c>
      <c r="E208" s="1" t="s">
        <v>21</v>
      </c>
      <c r="F208" s="1" t="s">
        <v>251</v>
      </c>
      <c r="G208">
        <v>1</v>
      </c>
      <c r="H208" s="1" t="s">
        <v>23</v>
      </c>
      <c r="I208" s="2">
        <v>45471</v>
      </c>
      <c r="J208" s="3">
        <v>45383</v>
      </c>
      <c r="K208" s="1" t="s">
        <v>31</v>
      </c>
      <c r="L208" s="1" t="s">
        <v>34</v>
      </c>
      <c r="M208" s="1">
        <f t="shared" si="9"/>
        <v>-88</v>
      </c>
      <c r="N208" s="1">
        <f t="shared" si="10"/>
        <v>0</v>
      </c>
      <c r="O208" s="8" t="str">
        <f t="shared" si="11"/>
        <v>36-50</v>
      </c>
    </row>
    <row r="209" spans="1:15" x14ac:dyDescent="0.3">
      <c r="A209">
        <v>1076</v>
      </c>
      <c r="B209" s="1" t="s">
        <v>19</v>
      </c>
      <c r="C209">
        <v>23</v>
      </c>
      <c r="D209" s="1" t="s">
        <v>13</v>
      </c>
      <c r="E209" s="1" t="s">
        <v>21</v>
      </c>
      <c r="F209" s="1" t="s">
        <v>252</v>
      </c>
      <c r="G209">
        <v>2</v>
      </c>
      <c r="H209" s="1" t="s">
        <v>16</v>
      </c>
      <c r="I209" s="2">
        <v>45352</v>
      </c>
      <c r="J209" s="3">
        <v>45407</v>
      </c>
      <c r="K209" s="1" t="s">
        <v>31</v>
      </c>
      <c r="L209" s="1" t="s">
        <v>29</v>
      </c>
      <c r="M209" s="1">
        <f t="shared" si="9"/>
        <v>55</v>
      </c>
      <c r="N209" s="1">
        <f t="shared" si="10"/>
        <v>0</v>
      </c>
      <c r="O209" s="8" t="str">
        <f t="shared" si="11"/>
        <v>18-25</v>
      </c>
    </row>
    <row r="210" spans="1:15" x14ac:dyDescent="0.3">
      <c r="A210">
        <v>1460</v>
      </c>
      <c r="B210" s="1" t="s">
        <v>25</v>
      </c>
      <c r="C210">
        <v>30</v>
      </c>
      <c r="D210" s="1" t="s">
        <v>13</v>
      </c>
      <c r="E210" s="1" t="s">
        <v>37</v>
      </c>
      <c r="F210" s="1" t="s">
        <v>253</v>
      </c>
      <c r="G210">
        <v>1</v>
      </c>
      <c r="H210" s="1" t="s">
        <v>47</v>
      </c>
      <c r="I210" s="2">
        <v>45305</v>
      </c>
      <c r="J210" s="3">
        <v>45376</v>
      </c>
      <c r="K210" s="1" t="s">
        <v>31</v>
      </c>
      <c r="L210" s="1" t="s">
        <v>18</v>
      </c>
      <c r="M210" s="1">
        <f t="shared" si="9"/>
        <v>71</v>
      </c>
      <c r="N210" s="1">
        <f t="shared" si="10"/>
        <v>0</v>
      </c>
      <c r="O210" s="8" t="str">
        <f t="shared" si="11"/>
        <v>26-35</v>
      </c>
    </row>
    <row r="211" spans="1:15" x14ac:dyDescent="0.3">
      <c r="A211">
        <v>1153</v>
      </c>
      <c r="B211" s="1" t="s">
        <v>74</v>
      </c>
      <c r="C211">
        <v>39</v>
      </c>
      <c r="D211" s="1" t="s">
        <v>13</v>
      </c>
      <c r="E211" s="1" t="s">
        <v>14</v>
      </c>
      <c r="F211" s="1" t="s">
        <v>254</v>
      </c>
      <c r="G211">
        <v>1</v>
      </c>
      <c r="H211" s="1" t="s">
        <v>16</v>
      </c>
      <c r="I211" s="2">
        <v>45390</v>
      </c>
      <c r="J211" s="3">
        <v>45357</v>
      </c>
      <c r="K211" s="1" t="s">
        <v>49</v>
      </c>
      <c r="L211" s="1" t="s">
        <v>56</v>
      </c>
      <c r="M211" s="1">
        <f t="shared" si="9"/>
        <v>-33</v>
      </c>
      <c r="N211" s="1">
        <f t="shared" si="10"/>
        <v>0</v>
      </c>
      <c r="O211" s="8" t="str">
        <f t="shared" si="11"/>
        <v>36-50</v>
      </c>
    </row>
    <row r="212" spans="1:15" x14ac:dyDescent="0.3">
      <c r="A212">
        <v>1490</v>
      </c>
      <c r="B212" s="1" t="s">
        <v>59</v>
      </c>
      <c r="C212">
        <v>24</v>
      </c>
      <c r="D212" s="1" t="s">
        <v>13</v>
      </c>
      <c r="E212" s="1" t="s">
        <v>37</v>
      </c>
      <c r="F212" s="1" t="s">
        <v>255</v>
      </c>
      <c r="G212">
        <v>4</v>
      </c>
      <c r="H212" s="1" t="s">
        <v>23</v>
      </c>
      <c r="I212" s="2">
        <v>45438</v>
      </c>
      <c r="J212" s="3">
        <v>45383</v>
      </c>
      <c r="K212" s="1" t="s">
        <v>28</v>
      </c>
      <c r="L212" s="1" t="s">
        <v>56</v>
      </c>
      <c r="M212" s="1">
        <f t="shared" si="9"/>
        <v>-55</v>
      </c>
      <c r="N212" s="1">
        <f t="shared" si="10"/>
        <v>1</v>
      </c>
      <c r="O212" s="8" t="str">
        <f t="shared" si="11"/>
        <v>18-25</v>
      </c>
    </row>
    <row r="213" spans="1:15" x14ac:dyDescent="0.3">
      <c r="A213">
        <v>1123</v>
      </c>
      <c r="B213" s="1" t="s">
        <v>12</v>
      </c>
      <c r="C213">
        <v>25</v>
      </c>
      <c r="D213" s="1" t="s">
        <v>13</v>
      </c>
      <c r="E213" s="1" t="s">
        <v>37</v>
      </c>
      <c r="F213" s="1" t="s">
        <v>256</v>
      </c>
      <c r="G213">
        <v>1</v>
      </c>
      <c r="H213" s="1" t="s">
        <v>47</v>
      </c>
      <c r="I213" s="2">
        <v>45370</v>
      </c>
      <c r="J213" s="3">
        <v>45339</v>
      </c>
      <c r="K213" s="1" t="s">
        <v>17</v>
      </c>
      <c r="L213" s="1" t="s">
        <v>51</v>
      </c>
      <c r="M213" s="1">
        <f t="shared" si="9"/>
        <v>-31</v>
      </c>
      <c r="N213" s="1">
        <f t="shared" si="10"/>
        <v>0</v>
      </c>
      <c r="O213" s="8" t="str">
        <f t="shared" si="11"/>
        <v>18-25</v>
      </c>
    </row>
    <row r="214" spans="1:15" x14ac:dyDescent="0.3">
      <c r="A214">
        <v>1497</v>
      </c>
      <c r="B214" s="1" t="s">
        <v>74</v>
      </c>
      <c r="C214">
        <v>24</v>
      </c>
      <c r="D214" s="1" t="s">
        <v>20</v>
      </c>
      <c r="E214" s="1" t="s">
        <v>21</v>
      </c>
      <c r="F214" s="1" t="s">
        <v>257</v>
      </c>
      <c r="G214">
        <v>2</v>
      </c>
      <c r="H214" s="1" t="s">
        <v>47</v>
      </c>
      <c r="I214" s="2">
        <v>45292</v>
      </c>
      <c r="J214" s="3">
        <v>45431</v>
      </c>
      <c r="K214" s="1" t="s">
        <v>28</v>
      </c>
      <c r="L214" s="1" t="s">
        <v>29</v>
      </c>
      <c r="M214" s="1">
        <f t="shared" si="9"/>
        <v>139</v>
      </c>
      <c r="N214" s="1">
        <f t="shared" si="10"/>
        <v>1</v>
      </c>
      <c r="O214" s="8" t="str">
        <f t="shared" si="11"/>
        <v>18-25</v>
      </c>
    </row>
    <row r="215" spans="1:15" x14ac:dyDescent="0.3">
      <c r="A215">
        <v>1135</v>
      </c>
      <c r="B215" s="1" t="s">
        <v>40</v>
      </c>
      <c r="C215">
        <v>23</v>
      </c>
      <c r="D215" s="1" t="s">
        <v>13</v>
      </c>
      <c r="E215" s="1" t="s">
        <v>21</v>
      </c>
      <c r="F215" s="1" t="s">
        <v>258</v>
      </c>
      <c r="G215">
        <v>1</v>
      </c>
      <c r="H215" s="1" t="s">
        <v>47</v>
      </c>
      <c r="I215" s="2">
        <v>45476</v>
      </c>
      <c r="J215" s="3">
        <v>45566</v>
      </c>
      <c r="K215" s="1" t="s">
        <v>28</v>
      </c>
      <c r="L215" s="1" t="s">
        <v>51</v>
      </c>
      <c r="M215" s="1">
        <f t="shared" si="9"/>
        <v>90</v>
      </c>
      <c r="N215" s="1">
        <f t="shared" si="10"/>
        <v>1</v>
      </c>
      <c r="O215" s="8" t="str">
        <f t="shared" si="11"/>
        <v>18-25</v>
      </c>
    </row>
    <row r="216" spans="1:15" x14ac:dyDescent="0.3">
      <c r="A216">
        <v>1269</v>
      </c>
      <c r="B216" s="1" t="s">
        <v>53</v>
      </c>
      <c r="C216">
        <v>25</v>
      </c>
      <c r="D216" s="1" t="s">
        <v>13</v>
      </c>
      <c r="E216" s="1" t="s">
        <v>37</v>
      </c>
      <c r="F216" s="1" t="s">
        <v>259</v>
      </c>
      <c r="G216">
        <v>4</v>
      </c>
      <c r="H216" s="1" t="s">
        <v>23</v>
      </c>
      <c r="I216" s="2">
        <v>45448</v>
      </c>
      <c r="J216" s="3">
        <v>45366</v>
      </c>
      <c r="K216" s="1" t="s">
        <v>28</v>
      </c>
      <c r="L216" s="1" t="s">
        <v>24</v>
      </c>
      <c r="M216" s="1">
        <f t="shared" si="9"/>
        <v>-82</v>
      </c>
      <c r="N216" s="1">
        <f t="shared" si="10"/>
        <v>1</v>
      </c>
      <c r="O216" s="8" t="str">
        <f t="shared" si="11"/>
        <v>18-25</v>
      </c>
    </row>
    <row r="217" spans="1:15" x14ac:dyDescent="0.3">
      <c r="A217">
        <v>1428</v>
      </c>
      <c r="B217" s="1" t="s">
        <v>32</v>
      </c>
      <c r="C217">
        <v>19</v>
      </c>
      <c r="D217" s="1" t="s">
        <v>20</v>
      </c>
      <c r="E217" s="1" t="s">
        <v>26</v>
      </c>
      <c r="F217" s="1" t="s">
        <v>260</v>
      </c>
      <c r="G217">
        <v>2</v>
      </c>
      <c r="H217" s="1" t="s">
        <v>23</v>
      </c>
      <c r="I217" s="2">
        <v>45429</v>
      </c>
      <c r="J217" s="3">
        <v>45298</v>
      </c>
      <c r="K217" s="1" t="s">
        <v>17</v>
      </c>
      <c r="L217" s="1" t="s">
        <v>51</v>
      </c>
      <c r="M217" s="1">
        <f t="shared" si="9"/>
        <v>-131</v>
      </c>
      <c r="N217" s="1">
        <f t="shared" si="10"/>
        <v>0</v>
      </c>
      <c r="O217" s="8" t="str">
        <f t="shared" si="11"/>
        <v>18-25</v>
      </c>
    </row>
    <row r="218" spans="1:15" x14ac:dyDescent="0.3">
      <c r="A218">
        <v>1251</v>
      </c>
      <c r="B218" s="1" t="s">
        <v>59</v>
      </c>
      <c r="C218">
        <v>19</v>
      </c>
      <c r="D218" s="1" t="s">
        <v>20</v>
      </c>
      <c r="E218" s="1" t="s">
        <v>37</v>
      </c>
      <c r="F218" s="1" t="s">
        <v>261</v>
      </c>
      <c r="G218">
        <v>5</v>
      </c>
      <c r="H218" s="1" t="s">
        <v>47</v>
      </c>
      <c r="I218" s="2">
        <v>45346</v>
      </c>
      <c r="J218" s="3">
        <v>45303</v>
      </c>
      <c r="K218" s="1" t="s">
        <v>28</v>
      </c>
      <c r="L218" s="1" t="s">
        <v>51</v>
      </c>
      <c r="M218" s="1">
        <f t="shared" si="9"/>
        <v>-43</v>
      </c>
      <c r="N218" s="1">
        <f t="shared" si="10"/>
        <v>1</v>
      </c>
      <c r="O218" s="8" t="str">
        <f t="shared" si="11"/>
        <v>18-25</v>
      </c>
    </row>
    <row r="219" spans="1:15" x14ac:dyDescent="0.3">
      <c r="A219">
        <v>1257</v>
      </c>
      <c r="B219" s="1" t="s">
        <v>64</v>
      </c>
      <c r="C219">
        <v>24</v>
      </c>
      <c r="D219" s="1" t="s">
        <v>13</v>
      </c>
      <c r="E219" s="1" t="s">
        <v>21</v>
      </c>
      <c r="F219" s="1" t="s">
        <v>262</v>
      </c>
      <c r="G219">
        <v>4</v>
      </c>
      <c r="H219" s="1" t="s">
        <v>16</v>
      </c>
      <c r="I219" s="2">
        <v>45352</v>
      </c>
      <c r="J219" s="3">
        <v>45571</v>
      </c>
      <c r="K219" s="1" t="s">
        <v>17</v>
      </c>
      <c r="L219" s="1" t="s">
        <v>24</v>
      </c>
      <c r="M219" s="1">
        <f t="shared" si="9"/>
        <v>219</v>
      </c>
      <c r="N219" s="1">
        <f t="shared" si="10"/>
        <v>0</v>
      </c>
      <c r="O219" s="8" t="str">
        <f t="shared" si="11"/>
        <v>18-25</v>
      </c>
    </row>
    <row r="220" spans="1:15" x14ac:dyDescent="0.3">
      <c r="A220">
        <v>1247</v>
      </c>
      <c r="B220" s="1" t="s">
        <v>19</v>
      </c>
      <c r="C220">
        <v>24</v>
      </c>
      <c r="D220" s="1" t="s">
        <v>13</v>
      </c>
      <c r="E220" s="1" t="s">
        <v>26</v>
      </c>
      <c r="F220" s="1" t="s">
        <v>263</v>
      </c>
      <c r="G220">
        <v>4</v>
      </c>
      <c r="H220" s="1" t="s">
        <v>16</v>
      </c>
      <c r="I220" s="2">
        <v>45398</v>
      </c>
      <c r="J220" s="3">
        <v>45413</v>
      </c>
      <c r="K220" s="1" t="s">
        <v>17</v>
      </c>
      <c r="L220" s="1" t="s">
        <v>29</v>
      </c>
      <c r="M220" s="1">
        <f t="shared" si="9"/>
        <v>15</v>
      </c>
      <c r="N220" s="1">
        <f t="shared" si="10"/>
        <v>0</v>
      </c>
      <c r="O220" s="8" t="str">
        <f t="shared" si="11"/>
        <v>18-25</v>
      </c>
    </row>
    <row r="221" spans="1:15" x14ac:dyDescent="0.3">
      <c r="A221">
        <v>1169</v>
      </c>
      <c r="B221" s="1" t="s">
        <v>64</v>
      </c>
      <c r="C221">
        <v>22</v>
      </c>
      <c r="D221" s="1" t="s">
        <v>20</v>
      </c>
      <c r="E221" s="1" t="s">
        <v>14</v>
      </c>
      <c r="F221" s="1" t="s">
        <v>264</v>
      </c>
      <c r="G221">
        <v>5</v>
      </c>
      <c r="H221" s="1" t="s">
        <v>23</v>
      </c>
      <c r="I221" s="2">
        <v>45437</v>
      </c>
      <c r="J221" s="3">
        <v>45295</v>
      </c>
      <c r="K221" s="1" t="s">
        <v>28</v>
      </c>
      <c r="L221" s="1" t="s">
        <v>36</v>
      </c>
      <c r="M221" s="1">
        <f t="shared" si="9"/>
        <v>-142</v>
      </c>
      <c r="N221" s="1">
        <f t="shared" si="10"/>
        <v>1</v>
      </c>
      <c r="O221" s="8" t="str">
        <f t="shared" si="11"/>
        <v>18-25</v>
      </c>
    </row>
    <row r="222" spans="1:15" x14ac:dyDescent="0.3">
      <c r="A222">
        <v>1206</v>
      </c>
      <c r="B222" s="1" t="s">
        <v>19</v>
      </c>
      <c r="C222">
        <v>22</v>
      </c>
      <c r="D222" s="1" t="s">
        <v>13</v>
      </c>
      <c r="E222" s="1" t="s">
        <v>21</v>
      </c>
      <c r="F222" s="1" t="s">
        <v>265</v>
      </c>
      <c r="G222">
        <v>1</v>
      </c>
      <c r="H222" s="1" t="s">
        <v>23</v>
      </c>
      <c r="I222" s="2">
        <v>45438</v>
      </c>
      <c r="J222" s="3">
        <v>45427</v>
      </c>
      <c r="K222" s="1" t="s">
        <v>31</v>
      </c>
      <c r="L222" s="1" t="s">
        <v>51</v>
      </c>
      <c r="M222" s="1">
        <f t="shared" si="9"/>
        <v>-11</v>
      </c>
      <c r="N222" s="1">
        <f t="shared" si="10"/>
        <v>0</v>
      </c>
      <c r="O222" s="8" t="str">
        <f t="shared" si="11"/>
        <v>18-25</v>
      </c>
    </row>
    <row r="223" spans="1:15" x14ac:dyDescent="0.3">
      <c r="A223">
        <v>1440</v>
      </c>
      <c r="B223" s="1" t="s">
        <v>32</v>
      </c>
      <c r="C223">
        <v>18</v>
      </c>
      <c r="D223" s="1" t="s">
        <v>20</v>
      </c>
      <c r="E223" s="1" t="s">
        <v>14</v>
      </c>
      <c r="F223" s="1" t="s">
        <v>266</v>
      </c>
      <c r="G223">
        <v>3</v>
      </c>
      <c r="H223" s="1" t="s">
        <v>23</v>
      </c>
      <c r="I223" s="2">
        <v>45326</v>
      </c>
      <c r="J223" s="3">
        <v>45431</v>
      </c>
      <c r="K223" s="1" t="s">
        <v>28</v>
      </c>
      <c r="L223" s="1" t="s">
        <v>43</v>
      </c>
      <c r="M223" s="1">
        <f t="shared" si="9"/>
        <v>105</v>
      </c>
      <c r="N223" s="1">
        <f t="shared" si="10"/>
        <v>1</v>
      </c>
      <c r="O223" s="8" t="str">
        <f t="shared" si="11"/>
        <v>18-25</v>
      </c>
    </row>
    <row r="224" spans="1:15" x14ac:dyDescent="0.3">
      <c r="A224">
        <v>1471</v>
      </c>
      <c r="B224" s="1" t="s">
        <v>53</v>
      </c>
      <c r="C224">
        <v>26</v>
      </c>
      <c r="D224" s="1" t="s">
        <v>13</v>
      </c>
      <c r="E224" s="1" t="s">
        <v>37</v>
      </c>
      <c r="F224" s="1" t="s">
        <v>267</v>
      </c>
      <c r="G224">
        <v>4</v>
      </c>
      <c r="H224" s="1" t="s">
        <v>47</v>
      </c>
      <c r="I224" s="2">
        <v>45457</v>
      </c>
      <c r="J224" s="3">
        <v>45294</v>
      </c>
      <c r="K224" s="1" t="s">
        <v>28</v>
      </c>
      <c r="L224" s="1" t="s">
        <v>56</v>
      </c>
      <c r="M224" s="1">
        <f t="shared" si="9"/>
        <v>-163</v>
      </c>
      <c r="N224" s="1">
        <f t="shared" si="10"/>
        <v>1</v>
      </c>
      <c r="O224" s="8" t="str">
        <f t="shared" si="11"/>
        <v>26-35</v>
      </c>
    </row>
    <row r="225" spans="1:15" x14ac:dyDescent="0.3">
      <c r="A225">
        <v>1063</v>
      </c>
      <c r="B225" s="1" t="s">
        <v>74</v>
      </c>
      <c r="C225">
        <v>22</v>
      </c>
      <c r="D225" s="1" t="s">
        <v>13</v>
      </c>
      <c r="E225" s="1" t="s">
        <v>21</v>
      </c>
      <c r="F225" s="1" t="s">
        <v>268</v>
      </c>
      <c r="G225">
        <v>4</v>
      </c>
      <c r="H225" s="1" t="s">
        <v>23</v>
      </c>
      <c r="I225" s="2">
        <v>45471</v>
      </c>
      <c r="J225" s="3">
        <v>45385</v>
      </c>
      <c r="K225" s="1" t="s">
        <v>17</v>
      </c>
      <c r="L225" s="1" t="s">
        <v>24</v>
      </c>
      <c r="M225" s="1">
        <f t="shared" si="9"/>
        <v>-86</v>
      </c>
      <c r="N225" s="1">
        <f t="shared" si="10"/>
        <v>0</v>
      </c>
      <c r="O225" s="8" t="str">
        <f t="shared" si="11"/>
        <v>18-25</v>
      </c>
    </row>
    <row r="226" spans="1:15" x14ac:dyDescent="0.3">
      <c r="A226">
        <v>1481</v>
      </c>
      <c r="B226" s="1" t="s">
        <v>19</v>
      </c>
      <c r="C226">
        <v>40</v>
      </c>
      <c r="D226" s="1" t="s">
        <v>20</v>
      </c>
      <c r="E226" s="1" t="s">
        <v>14</v>
      </c>
      <c r="F226" s="1" t="s">
        <v>269</v>
      </c>
      <c r="G226">
        <v>2</v>
      </c>
      <c r="H226" s="1" t="s">
        <v>47</v>
      </c>
      <c r="I226" s="2">
        <v>45446</v>
      </c>
      <c r="J226" s="3">
        <v>45541</v>
      </c>
      <c r="K226" s="1" t="s">
        <v>49</v>
      </c>
      <c r="L226" s="1" t="s">
        <v>18</v>
      </c>
      <c r="M226" s="1">
        <f t="shared" si="9"/>
        <v>95</v>
      </c>
      <c r="N226" s="1">
        <f t="shared" si="10"/>
        <v>0</v>
      </c>
      <c r="O226" s="8" t="str">
        <f t="shared" si="11"/>
        <v>36-50</v>
      </c>
    </row>
    <row r="227" spans="1:15" x14ac:dyDescent="0.3">
      <c r="A227">
        <v>1003</v>
      </c>
      <c r="B227" s="1" t="s">
        <v>59</v>
      </c>
      <c r="C227">
        <v>19</v>
      </c>
      <c r="D227" s="1" t="s">
        <v>20</v>
      </c>
      <c r="E227" s="1" t="s">
        <v>26</v>
      </c>
      <c r="F227" s="1" t="s">
        <v>270</v>
      </c>
      <c r="G227">
        <v>4</v>
      </c>
      <c r="H227" s="1" t="s">
        <v>16</v>
      </c>
      <c r="I227" s="2">
        <v>45366</v>
      </c>
      <c r="J227" s="3">
        <v>45427</v>
      </c>
      <c r="K227" s="1" t="s">
        <v>49</v>
      </c>
      <c r="L227" s="1" t="s">
        <v>34</v>
      </c>
      <c r="M227" s="1">
        <f t="shared" si="9"/>
        <v>61</v>
      </c>
      <c r="N227" s="1">
        <f t="shared" si="10"/>
        <v>0</v>
      </c>
      <c r="O227" s="8" t="str">
        <f t="shared" si="11"/>
        <v>18-25</v>
      </c>
    </row>
    <row r="228" spans="1:15" x14ac:dyDescent="0.3">
      <c r="A228">
        <v>1017</v>
      </c>
      <c r="B228" s="1" t="s">
        <v>19</v>
      </c>
      <c r="C228">
        <v>23</v>
      </c>
      <c r="D228" s="1" t="s">
        <v>13</v>
      </c>
      <c r="E228" s="1" t="s">
        <v>21</v>
      </c>
      <c r="F228" s="1" t="s">
        <v>271</v>
      </c>
      <c r="G228">
        <v>1</v>
      </c>
      <c r="H228" s="1" t="s">
        <v>42</v>
      </c>
      <c r="I228" s="2">
        <v>45339</v>
      </c>
      <c r="J228" s="3">
        <v>45463</v>
      </c>
      <c r="K228" s="1" t="s">
        <v>17</v>
      </c>
      <c r="L228" s="1" t="s">
        <v>18</v>
      </c>
      <c r="M228" s="1">
        <f t="shared" si="9"/>
        <v>124</v>
      </c>
      <c r="N228" s="1">
        <f t="shared" si="10"/>
        <v>0</v>
      </c>
      <c r="O228" s="8" t="str">
        <f t="shared" si="11"/>
        <v>18-25</v>
      </c>
    </row>
    <row r="229" spans="1:15" x14ac:dyDescent="0.3">
      <c r="A229">
        <v>1088</v>
      </c>
      <c r="B229" s="1" t="s">
        <v>74</v>
      </c>
      <c r="C229">
        <v>40</v>
      </c>
      <c r="D229" s="1" t="s">
        <v>13</v>
      </c>
      <c r="E229" s="1" t="s">
        <v>37</v>
      </c>
      <c r="F229" s="1" t="s">
        <v>272</v>
      </c>
      <c r="G229">
        <v>1</v>
      </c>
      <c r="H229" s="1" t="s">
        <v>42</v>
      </c>
      <c r="I229" s="2">
        <v>45384</v>
      </c>
      <c r="J229" s="3">
        <v>45365</v>
      </c>
      <c r="K229" s="1" t="s">
        <v>49</v>
      </c>
      <c r="L229" s="1" t="s">
        <v>29</v>
      </c>
      <c r="M229" s="1">
        <f t="shared" si="9"/>
        <v>-19</v>
      </c>
      <c r="N229" s="1">
        <f t="shared" si="10"/>
        <v>0</v>
      </c>
      <c r="O229" s="8" t="str">
        <f t="shared" si="11"/>
        <v>36-50</v>
      </c>
    </row>
    <row r="230" spans="1:15" x14ac:dyDescent="0.3">
      <c r="A230">
        <v>1238</v>
      </c>
      <c r="B230" s="1" t="s">
        <v>53</v>
      </c>
      <c r="C230">
        <v>40</v>
      </c>
      <c r="D230" s="1" t="s">
        <v>13</v>
      </c>
      <c r="E230" s="1" t="s">
        <v>21</v>
      </c>
      <c r="F230" s="1" t="s">
        <v>273</v>
      </c>
      <c r="G230">
        <v>5</v>
      </c>
      <c r="H230" s="1" t="s">
        <v>47</v>
      </c>
      <c r="I230" s="2">
        <v>45329</v>
      </c>
      <c r="J230" s="3">
        <v>45409</v>
      </c>
      <c r="K230" s="1" t="s">
        <v>28</v>
      </c>
      <c r="L230" s="1" t="s">
        <v>29</v>
      </c>
      <c r="M230" s="1">
        <f t="shared" si="9"/>
        <v>80</v>
      </c>
      <c r="N230" s="1">
        <f t="shared" si="10"/>
        <v>1</v>
      </c>
      <c r="O230" s="8" t="str">
        <f t="shared" si="11"/>
        <v>36-50</v>
      </c>
    </row>
    <row r="231" spans="1:15" x14ac:dyDescent="0.3">
      <c r="A231">
        <v>1215</v>
      </c>
      <c r="B231" s="1" t="s">
        <v>25</v>
      </c>
      <c r="C231">
        <v>19</v>
      </c>
      <c r="D231" s="1" t="s">
        <v>13</v>
      </c>
      <c r="E231" s="1" t="s">
        <v>26</v>
      </c>
      <c r="F231" s="1" t="s">
        <v>274</v>
      </c>
      <c r="G231">
        <v>4</v>
      </c>
      <c r="H231" s="1" t="s">
        <v>16</v>
      </c>
      <c r="I231" s="2">
        <v>45319</v>
      </c>
      <c r="J231" s="3">
        <v>45437</v>
      </c>
      <c r="K231" s="1" t="s">
        <v>28</v>
      </c>
      <c r="L231" s="1" t="s">
        <v>24</v>
      </c>
      <c r="M231" s="1">
        <f t="shared" si="9"/>
        <v>118</v>
      </c>
      <c r="N231" s="1">
        <f t="shared" si="10"/>
        <v>1</v>
      </c>
      <c r="O231" s="8" t="str">
        <f t="shared" si="11"/>
        <v>18-25</v>
      </c>
    </row>
    <row r="232" spans="1:15" x14ac:dyDescent="0.3">
      <c r="A232">
        <v>1197</v>
      </c>
      <c r="B232" s="1" t="s">
        <v>19</v>
      </c>
      <c r="C232">
        <v>25</v>
      </c>
      <c r="D232" s="1" t="s">
        <v>20</v>
      </c>
      <c r="E232" s="1" t="s">
        <v>21</v>
      </c>
      <c r="F232" s="1" t="s">
        <v>275</v>
      </c>
      <c r="G232">
        <v>1</v>
      </c>
      <c r="H232" s="1" t="s">
        <v>42</v>
      </c>
      <c r="I232" s="2">
        <v>45470</v>
      </c>
      <c r="J232" s="3">
        <v>45397</v>
      </c>
      <c r="K232" s="1" t="s">
        <v>28</v>
      </c>
      <c r="L232" s="1" t="s">
        <v>18</v>
      </c>
      <c r="M232" s="1">
        <f t="shared" si="9"/>
        <v>-73</v>
      </c>
      <c r="N232" s="1">
        <f t="shared" si="10"/>
        <v>1</v>
      </c>
      <c r="O232" s="8" t="str">
        <f t="shared" si="11"/>
        <v>18-25</v>
      </c>
    </row>
    <row r="233" spans="1:15" x14ac:dyDescent="0.3">
      <c r="A233">
        <v>1097</v>
      </c>
      <c r="B233" s="1" t="s">
        <v>19</v>
      </c>
      <c r="C233">
        <v>18</v>
      </c>
      <c r="D233" s="1" t="s">
        <v>13</v>
      </c>
      <c r="E233" s="1" t="s">
        <v>37</v>
      </c>
      <c r="F233" s="1" t="s">
        <v>276</v>
      </c>
      <c r="G233">
        <v>4</v>
      </c>
      <c r="H233" s="1" t="s">
        <v>47</v>
      </c>
      <c r="I233" s="2">
        <v>45462</v>
      </c>
      <c r="J233" s="3">
        <v>45407</v>
      </c>
      <c r="K233" s="1" t="s">
        <v>28</v>
      </c>
      <c r="L233" s="1" t="s">
        <v>43</v>
      </c>
      <c r="M233" s="1">
        <f t="shared" si="9"/>
        <v>-55</v>
      </c>
      <c r="N233" s="1">
        <f t="shared" si="10"/>
        <v>1</v>
      </c>
      <c r="O233" s="8" t="str">
        <f t="shared" si="11"/>
        <v>18-25</v>
      </c>
    </row>
    <row r="234" spans="1:15" x14ac:dyDescent="0.3">
      <c r="A234">
        <v>1050</v>
      </c>
      <c r="B234" s="1" t="s">
        <v>64</v>
      </c>
      <c r="C234">
        <v>19</v>
      </c>
      <c r="D234" s="1" t="s">
        <v>20</v>
      </c>
      <c r="E234" s="1" t="s">
        <v>21</v>
      </c>
      <c r="F234" s="1" t="s">
        <v>277</v>
      </c>
      <c r="G234">
        <v>5</v>
      </c>
      <c r="H234" s="1" t="s">
        <v>47</v>
      </c>
      <c r="I234" s="2">
        <v>45450</v>
      </c>
      <c r="J234" s="3">
        <v>45387</v>
      </c>
      <c r="K234" s="1" t="s">
        <v>28</v>
      </c>
      <c r="L234" s="1" t="s">
        <v>56</v>
      </c>
      <c r="M234" s="1">
        <f t="shared" si="9"/>
        <v>-63</v>
      </c>
      <c r="N234" s="1">
        <f t="shared" si="10"/>
        <v>1</v>
      </c>
      <c r="O234" s="8" t="str">
        <f t="shared" si="11"/>
        <v>18-25</v>
      </c>
    </row>
    <row r="235" spans="1:15" x14ac:dyDescent="0.3">
      <c r="A235">
        <v>1357</v>
      </c>
      <c r="B235" s="1" t="s">
        <v>57</v>
      </c>
      <c r="C235">
        <v>25</v>
      </c>
      <c r="D235" s="1" t="s">
        <v>20</v>
      </c>
      <c r="E235" s="1" t="s">
        <v>37</v>
      </c>
      <c r="F235" s="1" t="s">
        <v>278</v>
      </c>
      <c r="G235">
        <v>1</v>
      </c>
      <c r="H235" s="1" t="s">
        <v>42</v>
      </c>
      <c r="I235" s="2">
        <v>45313</v>
      </c>
      <c r="J235" s="3">
        <v>45408</v>
      </c>
      <c r="K235" s="1" t="s">
        <v>31</v>
      </c>
      <c r="L235" s="1" t="s">
        <v>43</v>
      </c>
      <c r="M235" s="1">
        <f t="shared" si="9"/>
        <v>95</v>
      </c>
      <c r="N235" s="1">
        <f t="shared" si="10"/>
        <v>0</v>
      </c>
      <c r="O235" s="8" t="str">
        <f t="shared" si="11"/>
        <v>18-25</v>
      </c>
    </row>
    <row r="236" spans="1:15" x14ac:dyDescent="0.3">
      <c r="A236">
        <v>1130</v>
      </c>
      <c r="B236" s="1" t="s">
        <v>19</v>
      </c>
      <c r="C236">
        <v>20</v>
      </c>
      <c r="D236" s="1" t="s">
        <v>20</v>
      </c>
      <c r="E236" s="1" t="s">
        <v>26</v>
      </c>
      <c r="F236" s="1" t="s">
        <v>279</v>
      </c>
      <c r="G236">
        <v>3</v>
      </c>
      <c r="H236" s="1" t="s">
        <v>23</v>
      </c>
      <c r="I236" s="2">
        <v>45340</v>
      </c>
      <c r="J236" s="3">
        <v>45448</v>
      </c>
      <c r="K236" s="1" t="s">
        <v>28</v>
      </c>
      <c r="L236" s="1" t="s">
        <v>18</v>
      </c>
      <c r="M236" s="1">
        <f t="shared" si="9"/>
        <v>108</v>
      </c>
      <c r="N236" s="1">
        <f t="shared" si="10"/>
        <v>1</v>
      </c>
      <c r="O236" s="8" t="str">
        <f t="shared" si="11"/>
        <v>18-25</v>
      </c>
    </row>
    <row r="237" spans="1:15" x14ac:dyDescent="0.3">
      <c r="A237">
        <v>1146</v>
      </c>
      <c r="B237" s="1" t="s">
        <v>25</v>
      </c>
      <c r="C237">
        <v>40</v>
      </c>
      <c r="D237" s="1" t="s">
        <v>13</v>
      </c>
      <c r="E237" s="1" t="s">
        <v>21</v>
      </c>
      <c r="F237" s="1" t="s">
        <v>280</v>
      </c>
      <c r="G237">
        <v>2</v>
      </c>
      <c r="H237" s="1" t="s">
        <v>23</v>
      </c>
      <c r="I237" s="2">
        <v>45398</v>
      </c>
      <c r="J237" s="3">
        <v>45354</v>
      </c>
      <c r="K237" s="1" t="s">
        <v>28</v>
      </c>
      <c r="L237" s="1" t="s">
        <v>34</v>
      </c>
      <c r="M237" s="1">
        <f t="shared" si="9"/>
        <v>-44</v>
      </c>
      <c r="N237" s="1">
        <f t="shared" si="10"/>
        <v>1</v>
      </c>
      <c r="O237" s="8" t="str">
        <f t="shared" si="11"/>
        <v>36-50</v>
      </c>
    </row>
    <row r="238" spans="1:15" x14ac:dyDescent="0.3">
      <c r="A238">
        <v>1302</v>
      </c>
      <c r="B238" s="1" t="s">
        <v>40</v>
      </c>
      <c r="C238">
        <v>23</v>
      </c>
      <c r="D238" s="1" t="s">
        <v>20</v>
      </c>
      <c r="E238" s="1" t="s">
        <v>26</v>
      </c>
      <c r="F238" s="1" t="s">
        <v>281</v>
      </c>
      <c r="G238">
        <v>5</v>
      </c>
      <c r="H238" s="1" t="s">
        <v>16</v>
      </c>
      <c r="I238" s="2">
        <v>45359</v>
      </c>
      <c r="J238" s="3">
        <v>45418</v>
      </c>
      <c r="K238" s="1" t="s">
        <v>28</v>
      </c>
      <c r="L238" s="1" t="s">
        <v>18</v>
      </c>
      <c r="M238" s="1">
        <f t="shared" si="9"/>
        <v>59</v>
      </c>
      <c r="N238" s="1">
        <f t="shared" si="10"/>
        <v>1</v>
      </c>
      <c r="O238" s="8" t="str">
        <f t="shared" si="11"/>
        <v>18-25</v>
      </c>
    </row>
    <row r="239" spans="1:15" x14ac:dyDescent="0.3">
      <c r="A239">
        <v>1045</v>
      </c>
      <c r="B239" s="1" t="s">
        <v>19</v>
      </c>
      <c r="C239">
        <v>30</v>
      </c>
      <c r="D239" s="1" t="s">
        <v>13</v>
      </c>
      <c r="E239" s="1" t="s">
        <v>26</v>
      </c>
      <c r="F239" s="1" t="s">
        <v>282</v>
      </c>
      <c r="G239">
        <v>5</v>
      </c>
      <c r="H239" s="1" t="s">
        <v>16</v>
      </c>
      <c r="I239" s="2">
        <v>45332</v>
      </c>
      <c r="J239" s="3">
        <v>45314</v>
      </c>
      <c r="K239" s="1" t="s">
        <v>31</v>
      </c>
      <c r="L239" s="1" t="s">
        <v>56</v>
      </c>
      <c r="M239" s="1">
        <f t="shared" si="9"/>
        <v>-18</v>
      </c>
      <c r="N239" s="1">
        <f t="shared" si="10"/>
        <v>0</v>
      </c>
      <c r="O239" s="8" t="str">
        <f t="shared" si="11"/>
        <v>26-35</v>
      </c>
    </row>
    <row r="240" spans="1:15" x14ac:dyDescent="0.3">
      <c r="A240">
        <v>1441</v>
      </c>
      <c r="B240" s="1" t="s">
        <v>71</v>
      </c>
      <c r="C240">
        <v>23</v>
      </c>
      <c r="D240" s="1" t="s">
        <v>13</v>
      </c>
      <c r="E240" s="1" t="s">
        <v>21</v>
      </c>
      <c r="F240" s="1" t="s">
        <v>283</v>
      </c>
      <c r="G240">
        <v>3</v>
      </c>
      <c r="H240" s="1" t="s">
        <v>23</v>
      </c>
      <c r="I240" s="2">
        <v>45440</v>
      </c>
      <c r="J240" s="3">
        <v>45567</v>
      </c>
      <c r="K240" s="1" t="s">
        <v>17</v>
      </c>
      <c r="L240" s="1" t="s">
        <v>24</v>
      </c>
      <c r="M240" s="1">
        <f t="shared" si="9"/>
        <v>127</v>
      </c>
      <c r="N240" s="1">
        <f t="shared" si="10"/>
        <v>0</v>
      </c>
      <c r="O240" s="8" t="str">
        <f t="shared" si="11"/>
        <v>18-25</v>
      </c>
    </row>
    <row r="241" spans="1:15" x14ac:dyDescent="0.3">
      <c r="A241">
        <v>1419</v>
      </c>
      <c r="B241" s="1" t="s">
        <v>59</v>
      </c>
      <c r="C241">
        <v>18</v>
      </c>
      <c r="D241" s="1" t="s">
        <v>13</v>
      </c>
      <c r="E241" s="1" t="s">
        <v>21</v>
      </c>
      <c r="F241" s="1" t="s">
        <v>284</v>
      </c>
      <c r="G241">
        <v>5</v>
      </c>
      <c r="H241" s="1" t="s">
        <v>16</v>
      </c>
      <c r="I241" s="2">
        <v>45450</v>
      </c>
      <c r="J241" s="3">
        <v>45449</v>
      </c>
      <c r="K241" s="1" t="s">
        <v>31</v>
      </c>
      <c r="L241" s="1" t="s">
        <v>24</v>
      </c>
      <c r="M241" s="1">
        <f t="shared" si="9"/>
        <v>-1</v>
      </c>
      <c r="N241" s="1">
        <f t="shared" si="10"/>
        <v>0</v>
      </c>
      <c r="O241" s="8" t="str">
        <f t="shared" si="11"/>
        <v>18-25</v>
      </c>
    </row>
    <row r="242" spans="1:15" x14ac:dyDescent="0.3">
      <c r="A242">
        <v>1018</v>
      </c>
      <c r="B242" s="1" t="s">
        <v>59</v>
      </c>
      <c r="C242">
        <v>20</v>
      </c>
      <c r="D242" s="1" t="s">
        <v>20</v>
      </c>
      <c r="E242" s="1" t="s">
        <v>26</v>
      </c>
      <c r="F242" s="1" t="s">
        <v>285</v>
      </c>
      <c r="G242">
        <v>5</v>
      </c>
      <c r="H242" s="1" t="s">
        <v>23</v>
      </c>
      <c r="I242" s="2">
        <v>45415</v>
      </c>
      <c r="J242" s="3">
        <v>45384</v>
      </c>
      <c r="K242" s="1" t="s">
        <v>28</v>
      </c>
      <c r="L242" s="1" t="s">
        <v>56</v>
      </c>
      <c r="M242" s="1">
        <f t="shared" si="9"/>
        <v>-31</v>
      </c>
      <c r="N242" s="1">
        <f t="shared" si="10"/>
        <v>1</v>
      </c>
      <c r="O242" s="8" t="str">
        <f t="shared" si="11"/>
        <v>18-25</v>
      </c>
    </row>
    <row r="243" spans="1:15" x14ac:dyDescent="0.3">
      <c r="A243">
        <v>1475</v>
      </c>
      <c r="B243" s="1" t="s">
        <v>19</v>
      </c>
      <c r="C243">
        <v>23</v>
      </c>
      <c r="D243" s="1" t="s">
        <v>13</v>
      </c>
      <c r="E243" s="1" t="s">
        <v>14</v>
      </c>
      <c r="F243" s="1" t="s">
        <v>286</v>
      </c>
      <c r="G243">
        <v>4</v>
      </c>
      <c r="H243" s="1" t="s">
        <v>47</v>
      </c>
      <c r="I243" s="2">
        <v>45316</v>
      </c>
      <c r="J243" s="3">
        <v>45399</v>
      </c>
      <c r="K243" s="1" t="s">
        <v>31</v>
      </c>
      <c r="L243" s="1" t="s">
        <v>34</v>
      </c>
      <c r="M243" s="1">
        <f t="shared" si="9"/>
        <v>83</v>
      </c>
      <c r="N243" s="1">
        <f t="shared" si="10"/>
        <v>0</v>
      </c>
      <c r="O243" s="8" t="str">
        <f t="shared" si="11"/>
        <v>18-25</v>
      </c>
    </row>
    <row r="244" spans="1:15" x14ac:dyDescent="0.3">
      <c r="A244">
        <v>1174</v>
      </c>
      <c r="B244" s="1" t="s">
        <v>19</v>
      </c>
      <c r="C244">
        <v>30</v>
      </c>
      <c r="D244" s="1" t="s">
        <v>13</v>
      </c>
      <c r="E244" s="1" t="s">
        <v>21</v>
      </c>
      <c r="F244" s="1" t="s">
        <v>287</v>
      </c>
      <c r="G244">
        <v>1</v>
      </c>
      <c r="H244" s="1" t="s">
        <v>16</v>
      </c>
      <c r="I244" s="2">
        <v>45390</v>
      </c>
      <c r="J244" s="3">
        <v>45400</v>
      </c>
      <c r="K244" s="1" t="s">
        <v>49</v>
      </c>
      <c r="L244" s="1" t="s">
        <v>29</v>
      </c>
      <c r="M244" s="1">
        <f t="shared" si="9"/>
        <v>10</v>
      </c>
      <c r="N244" s="1">
        <f t="shared" si="10"/>
        <v>0</v>
      </c>
      <c r="O244" s="8" t="str">
        <f t="shared" si="11"/>
        <v>26-35</v>
      </c>
    </row>
    <row r="245" spans="1:15" x14ac:dyDescent="0.3">
      <c r="A245">
        <v>1438</v>
      </c>
      <c r="B245" s="1" t="s">
        <v>12</v>
      </c>
      <c r="C245">
        <v>19</v>
      </c>
      <c r="D245" s="1" t="s">
        <v>13</v>
      </c>
      <c r="E245" s="1" t="s">
        <v>37</v>
      </c>
      <c r="F245" s="1" t="s">
        <v>288</v>
      </c>
      <c r="G245">
        <v>3</v>
      </c>
      <c r="H245" s="1" t="s">
        <v>16</v>
      </c>
      <c r="I245" s="2">
        <v>45465</v>
      </c>
      <c r="J245" s="3">
        <v>45509</v>
      </c>
      <c r="K245" s="1" t="s">
        <v>28</v>
      </c>
      <c r="L245" s="1" t="s">
        <v>34</v>
      </c>
      <c r="M245" s="1">
        <f t="shared" si="9"/>
        <v>44</v>
      </c>
      <c r="N245" s="1">
        <f t="shared" si="10"/>
        <v>1</v>
      </c>
      <c r="O245" s="8" t="str">
        <f t="shared" si="11"/>
        <v>18-25</v>
      </c>
    </row>
    <row r="246" spans="1:15" x14ac:dyDescent="0.3">
      <c r="A246">
        <v>1073</v>
      </c>
      <c r="B246" s="1" t="s">
        <v>53</v>
      </c>
      <c r="C246">
        <v>22</v>
      </c>
      <c r="D246" s="1" t="s">
        <v>20</v>
      </c>
      <c r="E246" s="1" t="s">
        <v>26</v>
      </c>
      <c r="F246" s="1" t="s">
        <v>289</v>
      </c>
      <c r="G246">
        <v>2</v>
      </c>
      <c r="H246" s="1" t="s">
        <v>16</v>
      </c>
      <c r="I246" s="2">
        <v>45358</v>
      </c>
      <c r="J246" s="3">
        <v>45323</v>
      </c>
      <c r="K246" s="1" t="s">
        <v>31</v>
      </c>
      <c r="L246" s="1" t="s">
        <v>29</v>
      </c>
      <c r="M246" s="1">
        <f t="shared" si="9"/>
        <v>-35</v>
      </c>
      <c r="N246" s="1">
        <f t="shared" si="10"/>
        <v>0</v>
      </c>
      <c r="O246" s="8" t="str">
        <f t="shared" si="11"/>
        <v>18-25</v>
      </c>
    </row>
    <row r="247" spans="1:15" x14ac:dyDescent="0.3">
      <c r="A247">
        <v>1465</v>
      </c>
      <c r="B247" s="1" t="s">
        <v>32</v>
      </c>
      <c r="C247">
        <v>25</v>
      </c>
      <c r="D247" s="1" t="s">
        <v>13</v>
      </c>
      <c r="E247" s="1" t="s">
        <v>14</v>
      </c>
      <c r="F247" s="1" t="s">
        <v>290</v>
      </c>
      <c r="G247">
        <v>5</v>
      </c>
      <c r="H247" s="1" t="s">
        <v>47</v>
      </c>
      <c r="I247" s="2">
        <v>45343</v>
      </c>
      <c r="J247" s="3">
        <v>45364</v>
      </c>
      <c r="K247" s="1" t="s">
        <v>31</v>
      </c>
      <c r="L247" s="1" t="s">
        <v>43</v>
      </c>
      <c r="M247" s="1">
        <f t="shared" si="9"/>
        <v>21</v>
      </c>
      <c r="N247" s="1">
        <f t="shared" si="10"/>
        <v>0</v>
      </c>
      <c r="O247" s="8" t="str">
        <f t="shared" si="11"/>
        <v>18-25</v>
      </c>
    </row>
    <row r="248" spans="1:15" x14ac:dyDescent="0.3">
      <c r="A248">
        <v>1062</v>
      </c>
      <c r="B248" s="1" t="s">
        <v>53</v>
      </c>
      <c r="C248">
        <v>22</v>
      </c>
      <c r="D248" s="1" t="s">
        <v>20</v>
      </c>
      <c r="E248" s="1" t="s">
        <v>26</v>
      </c>
      <c r="F248" s="1" t="s">
        <v>291</v>
      </c>
      <c r="G248">
        <v>4</v>
      </c>
      <c r="H248" s="1" t="s">
        <v>23</v>
      </c>
      <c r="I248" s="2">
        <v>45388</v>
      </c>
      <c r="J248" s="3">
        <v>45365</v>
      </c>
      <c r="K248" s="1" t="s">
        <v>49</v>
      </c>
      <c r="L248" s="1" t="s">
        <v>18</v>
      </c>
      <c r="M248" s="1">
        <f t="shared" si="9"/>
        <v>-23</v>
      </c>
      <c r="N248" s="1">
        <f t="shared" si="10"/>
        <v>0</v>
      </c>
      <c r="O248" s="8" t="str">
        <f t="shared" si="11"/>
        <v>18-25</v>
      </c>
    </row>
    <row r="249" spans="1:15" x14ac:dyDescent="0.3">
      <c r="A249">
        <v>1195</v>
      </c>
      <c r="B249" s="1" t="s">
        <v>53</v>
      </c>
      <c r="C249">
        <v>25</v>
      </c>
      <c r="D249" s="1" t="s">
        <v>20</v>
      </c>
      <c r="E249" s="1" t="s">
        <v>37</v>
      </c>
      <c r="F249" s="1" t="s">
        <v>292</v>
      </c>
      <c r="G249">
        <v>3</v>
      </c>
      <c r="H249" s="1" t="s">
        <v>47</v>
      </c>
      <c r="I249" s="2">
        <v>45348</v>
      </c>
      <c r="J249" s="3">
        <v>45345</v>
      </c>
      <c r="K249" s="1" t="s">
        <v>28</v>
      </c>
      <c r="L249" s="1" t="s">
        <v>36</v>
      </c>
      <c r="M249" s="1">
        <f t="shared" si="9"/>
        <v>-3</v>
      </c>
      <c r="N249" s="1">
        <f t="shared" si="10"/>
        <v>1</v>
      </c>
      <c r="O249" s="8" t="str">
        <f t="shared" si="11"/>
        <v>18-25</v>
      </c>
    </row>
    <row r="250" spans="1:15" x14ac:dyDescent="0.3">
      <c r="A250">
        <v>1139</v>
      </c>
      <c r="B250" s="1" t="s">
        <v>71</v>
      </c>
      <c r="C250">
        <v>22</v>
      </c>
      <c r="D250" s="1" t="s">
        <v>13</v>
      </c>
      <c r="E250" s="1" t="s">
        <v>14</v>
      </c>
      <c r="F250" s="1" t="s">
        <v>293</v>
      </c>
      <c r="G250">
        <v>5</v>
      </c>
      <c r="H250" s="1" t="s">
        <v>47</v>
      </c>
      <c r="I250" s="2">
        <v>45314</v>
      </c>
      <c r="J250" s="3">
        <v>45309</v>
      </c>
      <c r="K250" s="1" t="s">
        <v>17</v>
      </c>
      <c r="L250" s="1" t="s">
        <v>34</v>
      </c>
      <c r="M250" s="1">
        <f t="shared" si="9"/>
        <v>-5</v>
      </c>
      <c r="N250" s="1">
        <f t="shared" si="10"/>
        <v>0</v>
      </c>
      <c r="O250" s="8" t="str">
        <f t="shared" si="11"/>
        <v>18-25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A572-D142-4CF7-B5FE-493EEF1CB9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53B8C-F504-4DBA-A44D-B0F663EB16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datacleaning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Jnshn Lux</dc:creator>
  <cp:lastModifiedBy>Jnshn Lux</cp:lastModifiedBy>
  <dcterms:created xsi:type="dcterms:W3CDTF">2025-11-30T03:51:05Z</dcterms:created>
  <dcterms:modified xsi:type="dcterms:W3CDTF">2025-11-30T09:41:56Z</dcterms:modified>
</cp:coreProperties>
</file>